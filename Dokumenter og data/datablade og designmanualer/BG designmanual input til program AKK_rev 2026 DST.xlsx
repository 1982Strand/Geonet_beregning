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byggrosas.sharepoint.com/sites/Byg/Shared Documents/General/Personlige mapper/BDK/Dan Strand/Beregningsværktøj/datablade og designmanualer/"/>
    </mc:Choice>
  </mc:AlternateContent>
  <xr:revisionPtr revIDLastSave="257" documentId="13_ncr:1_{5DEB2B14-722A-4740-8D49-9704A1B3F39A}" xr6:coauthVersionLast="47" xr6:coauthVersionMax="47" xr10:uidLastSave="{76D8512F-EE9D-455B-9AEF-2CF4D0F40A24}"/>
  <bookViews>
    <workbookView xWindow="28680" yWindow="-165" windowWidth="29040" windowHeight="15720" activeTab="1" xr2:uid="{00000000-000D-0000-FFFF-FFFF00000000}"/>
  </bookViews>
  <sheets>
    <sheet name="Ark1" sheetId="1" r:id="rId1"/>
    <sheet name="BG-DATA NY" sheetId="2" r:id="rId2"/>
    <sheet name="Diagrammer" sheetId="6" r:id="rId3"/>
    <sheet name="Ark3" sheetId="3" r:id="rId4"/>
    <sheet name="Forsøgsbeskrivelse" sheetId="4"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 i="6" l="1"/>
  <c r="P5" i="6"/>
  <c r="P6" i="6"/>
  <c r="P7" i="6"/>
  <c r="P8" i="6"/>
  <c r="P9" i="6"/>
  <c r="P10" i="6"/>
  <c r="O4" i="6"/>
  <c r="O5" i="6"/>
  <c r="O6" i="6"/>
  <c r="O7" i="6"/>
  <c r="O8" i="6"/>
  <c r="O9" i="6"/>
  <c r="O10" i="6"/>
  <c r="N4" i="6"/>
  <c r="N5" i="6"/>
  <c r="N6" i="6"/>
  <c r="N7" i="6"/>
  <c r="N8" i="6"/>
  <c r="N9" i="6"/>
  <c r="N10" i="6"/>
  <c r="M4" i="6"/>
  <c r="M5" i="6"/>
  <c r="M6" i="6"/>
  <c r="M7" i="6"/>
  <c r="M8" i="6"/>
  <c r="M9" i="6"/>
  <c r="M10" i="6"/>
  <c r="L4" i="6"/>
  <c r="L5" i="6"/>
  <c r="L6" i="6"/>
  <c r="L7" i="6"/>
  <c r="L8" i="6"/>
  <c r="L9" i="6"/>
  <c r="L10" i="6"/>
  <c r="K4" i="6"/>
  <c r="K5" i="6"/>
  <c r="K6" i="6"/>
  <c r="K7" i="6"/>
  <c r="K8" i="6"/>
  <c r="K9" i="6"/>
  <c r="K10" i="6"/>
  <c r="J4" i="6"/>
  <c r="J5" i="6"/>
  <c r="J6" i="6"/>
  <c r="J7" i="6"/>
  <c r="J8" i="6"/>
  <c r="J9" i="6"/>
  <c r="J10" i="6"/>
  <c r="H4" i="6"/>
  <c r="H5" i="6"/>
  <c r="H6" i="6"/>
  <c r="H7" i="6"/>
  <c r="H8" i="6"/>
  <c r="H9" i="6"/>
  <c r="H10" i="6"/>
  <c r="G4" i="6"/>
  <c r="G5" i="6"/>
  <c r="G6" i="6"/>
  <c r="G7" i="6"/>
  <c r="G8" i="6"/>
  <c r="G9" i="6"/>
  <c r="G10" i="6"/>
  <c r="F4" i="6"/>
  <c r="F5" i="6"/>
  <c r="F6" i="6"/>
  <c r="F7" i="6"/>
  <c r="F8" i="6"/>
  <c r="F9" i="6"/>
  <c r="F10" i="6"/>
  <c r="E4" i="6"/>
  <c r="E5" i="6"/>
  <c r="E6" i="6"/>
  <c r="E7" i="6"/>
  <c r="E8" i="6"/>
  <c r="E9" i="6"/>
  <c r="E10" i="6"/>
  <c r="D4" i="6"/>
  <c r="D5" i="6"/>
  <c r="D6" i="6"/>
  <c r="D7" i="6"/>
  <c r="D8" i="6"/>
  <c r="D9" i="6"/>
  <c r="D10" i="6"/>
  <c r="C4" i="6"/>
  <c r="C5" i="6"/>
  <c r="C6" i="6"/>
  <c r="C7" i="6"/>
  <c r="C8" i="6"/>
  <c r="C9" i="6"/>
  <c r="C10" i="6"/>
  <c r="B4" i="6"/>
  <c r="B5" i="6"/>
  <c r="B6" i="6"/>
  <c r="B7" i="6"/>
  <c r="B8" i="6"/>
  <c r="B9" i="6"/>
  <c r="B10" i="6"/>
  <c r="I92" i="2" l="1"/>
  <c r="I95" i="2"/>
  <c r="I86" i="2"/>
  <c r="S48" i="3"/>
  <c r="R48" i="3"/>
  <c r="Q48" i="3"/>
  <c r="P48" i="3"/>
  <c r="O48" i="3"/>
  <c r="N48" i="3"/>
  <c r="M48" i="3"/>
  <c r="S45" i="3"/>
  <c r="R45" i="3"/>
  <c r="Q45" i="3"/>
  <c r="P45" i="3"/>
  <c r="O45" i="3"/>
  <c r="N45" i="3"/>
  <c r="M45" i="3"/>
  <c r="S42" i="3"/>
  <c r="R42" i="3"/>
  <c r="Q42" i="3"/>
  <c r="P42" i="3"/>
  <c r="O42" i="3"/>
  <c r="N42" i="3"/>
  <c r="M42" i="3"/>
  <c r="S39" i="3"/>
  <c r="R39" i="3"/>
  <c r="Q39" i="3"/>
  <c r="P39" i="3"/>
  <c r="O39" i="3"/>
  <c r="N39" i="3"/>
  <c r="M39" i="3"/>
  <c r="S36" i="3"/>
  <c r="R36" i="3"/>
  <c r="Q36" i="3"/>
  <c r="P36" i="3"/>
  <c r="O36" i="3"/>
  <c r="N36" i="3"/>
  <c r="M36" i="3"/>
  <c r="S33" i="3"/>
  <c r="R33" i="3"/>
  <c r="Q33" i="3"/>
  <c r="P33" i="3"/>
  <c r="O33" i="3"/>
  <c r="N33" i="3"/>
  <c r="M33" i="3"/>
  <c r="S30" i="3"/>
  <c r="R30" i="3"/>
  <c r="Q30" i="3"/>
  <c r="P30" i="3"/>
  <c r="O30" i="3"/>
  <c r="N30" i="3"/>
  <c r="M30" i="3"/>
  <c r="S95" i="2" l="1"/>
  <c r="S92" i="2"/>
  <c r="S86" i="2"/>
  <c r="M42" i="2"/>
  <c r="N42" i="2"/>
  <c r="M39" i="2"/>
  <c r="N39" i="2"/>
  <c r="N36" i="2"/>
  <c r="M36" i="2"/>
  <c r="N33" i="2"/>
  <c r="M33" i="2"/>
  <c r="S51" i="2"/>
  <c r="R51" i="2"/>
  <c r="Q51" i="2"/>
  <c r="P51" i="2"/>
  <c r="O51" i="2"/>
  <c r="N51" i="2"/>
  <c r="M51" i="2"/>
  <c r="S48" i="2"/>
  <c r="R48" i="2"/>
  <c r="Q48" i="2"/>
  <c r="P48" i="2"/>
  <c r="O48" i="2"/>
  <c r="N48" i="2"/>
  <c r="M48" i="2"/>
  <c r="S45" i="2"/>
  <c r="R45" i="2"/>
  <c r="Q45" i="2"/>
  <c r="P45" i="2"/>
  <c r="O45" i="2"/>
  <c r="N45" i="2"/>
  <c r="M45" i="2"/>
  <c r="S42" i="2"/>
  <c r="R42" i="2"/>
  <c r="Q42" i="2"/>
  <c r="P42" i="2"/>
  <c r="O42" i="2"/>
  <c r="S39" i="2"/>
  <c r="R39" i="2"/>
  <c r="Q39" i="2"/>
  <c r="P39" i="2"/>
  <c r="O39" i="2"/>
  <c r="S36" i="2"/>
  <c r="R36" i="2"/>
  <c r="Q36" i="2"/>
  <c r="P36" i="2"/>
  <c r="O36" i="2"/>
  <c r="Q33" i="2"/>
  <c r="P33" i="2"/>
  <c r="O33" i="2"/>
  <c r="R33" i="2"/>
  <c r="S33" i="2"/>
</calcChain>
</file>

<file path=xl/sharedStrings.xml><?xml version="1.0" encoding="utf-8"?>
<sst xmlns="http://schemas.openxmlformats.org/spreadsheetml/2006/main" count="311" uniqueCount="143">
  <si>
    <t>Tensar Pave</t>
  </si>
  <si>
    <t>Eu</t>
  </si>
  <si>
    <t>Knust Sten - Skærver</t>
  </si>
  <si>
    <t>MPA</t>
  </si>
  <si>
    <t>Eo</t>
  </si>
  <si>
    <t>nedre</t>
  </si>
  <si>
    <t>øvre</t>
  </si>
  <si>
    <t xml:space="preserve">Sand/grus </t>
  </si>
  <si>
    <t>Phi &gt; 35 grader</t>
  </si>
  <si>
    <t>Dataudtræk  ERO/AKK 21/12-2016</t>
  </si>
  <si>
    <t>Armeret</t>
  </si>
  <si>
    <t>Uarneret</t>
  </si>
  <si>
    <t>Armering for hver 40 cm</t>
  </si>
  <si>
    <t>BG uarmeret</t>
  </si>
  <si>
    <t>BG armeret</t>
  </si>
  <si>
    <t>Phi &gt; 45 grader</t>
  </si>
  <si>
    <t xml:space="preserve">    </t>
  </si>
  <si>
    <t>Byggros Designmanual</t>
  </si>
  <si>
    <t>Rådata AKK 21/12-2016</t>
  </si>
  <si>
    <t xml:space="preserve"> </t>
  </si>
  <si>
    <t>Bærelagsmaterialebeskaffenhed</t>
  </si>
  <si>
    <t>Usikkerhedsmargin på tykkelse</t>
  </si>
  <si>
    <t>+/- 0</t>
  </si>
  <si>
    <t>-10%</t>
  </si>
  <si>
    <t>Armeringstype</t>
  </si>
  <si>
    <t>Afstand armering max 40 cm</t>
  </si>
  <si>
    <t>+10%</t>
  </si>
  <si>
    <t>+/- 0%</t>
  </si>
  <si>
    <t>*+12%</t>
  </si>
  <si>
    <t>+ 5%</t>
  </si>
  <si>
    <t>Mpa</t>
  </si>
  <si>
    <t>Bærelag</t>
  </si>
  <si>
    <t>BS</t>
  </si>
  <si>
    <t>phi</t>
  </si>
  <si>
    <t>SG</t>
  </si>
  <si>
    <t xml:space="preserve">Vægtet gennemsnit </t>
  </si>
  <si>
    <t>grader</t>
  </si>
  <si>
    <t>Factor</t>
  </si>
  <si>
    <t>Multilagsarmering</t>
  </si>
  <si>
    <t>3 lag armering type 900 pr. ca. 300 mm</t>
  </si>
  <si>
    <t>Opbygning multilagsopbygning:</t>
  </si>
  <si>
    <t>Opbygnig 1 lags opbygning med type 1250</t>
  </si>
  <si>
    <t>Opbygning multilagsopbygning med type 1250:</t>
  </si>
  <si>
    <t>-2%/grad</t>
  </si>
  <si>
    <t>900 mm -5% + 5% =</t>
  </si>
  <si>
    <t>mm</t>
  </si>
  <si>
    <t>900 mm -5% + 0% + 10% =</t>
  </si>
  <si>
    <t>900 mm -5% + 0% =</t>
  </si>
  <si>
    <t>&gt;50 cm</t>
  </si>
  <si>
    <t>2 lag armering type 1250 pr. ca. 425 mm</t>
  </si>
  <si>
    <t>Eksempel 1:</t>
  </si>
  <si>
    <t>Eksempel 2:</t>
  </si>
  <si>
    <t>Skærver</t>
  </si>
  <si>
    <t>900 mm -20% + 0% =</t>
  </si>
  <si>
    <t>900 mm -20% + 0% + 10% =</t>
  </si>
  <si>
    <t>900 mm -20% + 5% =</t>
  </si>
  <si>
    <t>Bærelagstabel</t>
  </si>
  <si>
    <t>Skærver 0-120</t>
  </si>
  <si>
    <t>Skærver 0-150</t>
  </si>
  <si>
    <t>Skærver 0-200</t>
  </si>
  <si>
    <t>Skærver 0-250</t>
  </si>
  <si>
    <t>Skærver 0-32</t>
  </si>
  <si>
    <t>Skræver 0-64</t>
  </si>
  <si>
    <t>Type</t>
  </si>
  <si>
    <t>Bundsand</t>
  </si>
  <si>
    <t>SG I 0-32</t>
  </si>
  <si>
    <t>SG II 0-32</t>
  </si>
  <si>
    <t>Knust beton 0-32</t>
  </si>
  <si>
    <t>Phi</t>
  </si>
  <si>
    <t>Maskestørrelse</t>
  </si>
  <si>
    <t>35x35</t>
  </si>
  <si>
    <t>65x65</t>
  </si>
  <si>
    <t>Skærver 0-90</t>
  </si>
  <si>
    <t>100x100</t>
  </si>
  <si>
    <t>Usikkerhedsmargin:</t>
  </si>
  <si>
    <t>2 lag armering type 1250 pr. ca. 360 mm</t>
  </si>
  <si>
    <t xml:space="preserve">Skærver 0-32 </t>
  </si>
  <si>
    <t>Skærver 0-64</t>
  </si>
  <si>
    <t>Råjordsplanum</t>
  </si>
  <si>
    <t>Geoarmering type 900</t>
  </si>
  <si>
    <t>Eo = 120 Mpa</t>
  </si>
  <si>
    <t>Eu = 5 Mpa</t>
  </si>
  <si>
    <t>Belægning</t>
  </si>
  <si>
    <t>Geoarmering type 1250</t>
  </si>
  <si>
    <t>Bærelagstykkelse armeret: 720 mm</t>
  </si>
  <si>
    <t>Stabiliseret opbygning:</t>
  </si>
  <si>
    <t>Traditionel opbygning</t>
  </si>
  <si>
    <t>Reduktionsværdi armeret ca.</t>
  </si>
  <si>
    <t>300 mm</t>
  </si>
  <si>
    <t>420 mm</t>
  </si>
  <si>
    <t>Bærelagstykkelse uarmeret: 1170 mm</t>
  </si>
  <si>
    <t>armeret - uarmeret 1%/grad</t>
  </si>
  <si>
    <t>Reduktion i forhold til uarmeret opbygning:  32,5 %</t>
  </si>
  <si>
    <t>Reduktion i forhold til uarmeret opbygning:  38,5 %</t>
  </si>
  <si>
    <t>Reduktion i forhold til uarmeret opbygning:  30,0 %</t>
  </si>
  <si>
    <t>GS-GRID 20/20</t>
  </si>
  <si>
    <t>GS-GRID 30/30</t>
  </si>
  <si>
    <t>GS-GRID 40/40</t>
  </si>
  <si>
    <t>GS-GRID 50/50</t>
  </si>
  <si>
    <t>Variabler/regneregler</t>
  </si>
  <si>
    <t>Gældende for friktionsvinkel 35-45 grader</t>
  </si>
  <si>
    <t>Bærelagstyper</t>
  </si>
  <si>
    <t>Krav til geonet</t>
  </si>
  <si>
    <t>Opslagsdiagram - bæreevne Eu i forhold til bæreevne på top af bærelag Eo</t>
  </si>
  <si>
    <t>Øvrige regneregler:</t>
  </si>
  <si>
    <t>Konverteringstabel Cv til E-modul - se designmanual</t>
  </si>
  <si>
    <t>Min. tykkelse og kvalitet af øvre bærelag afhængig af belastningsklasse</t>
  </si>
  <si>
    <t>Input</t>
  </si>
  <si>
    <t>*</t>
  </si>
  <si>
    <t>x</t>
  </si>
  <si>
    <t>870 mm</t>
  </si>
  <si>
    <t>1 lag armering</t>
  </si>
  <si>
    <t>Flere lag</t>
  </si>
  <si>
    <t>Uarmeret</t>
  </si>
  <si>
    <t>Eksempel fra designmanual</t>
  </si>
  <si>
    <t>Eksempel nye data</t>
  </si>
  <si>
    <t>Eo 45 Mpa</t>
  </si>
  <si>
    <t xml:space="preserve">2 lag armering </t>
  </si>
  <si>
    <t>465 mm</t>
  </si>
  <si>
    <t>2 lag armering type 900 pr. ca. 380 mm</t>
  </si>
  <si>
    <t>510 mm</t>
  </si>
  <si>
    <t>Bærelagstykkelse armeret: 810 mm</t>
  </si>
  <si>
    <t>Bærelagstykkelse armeret: 765 mm</t>
  </si>
  <si>
    <t>Problemstilling</t>
  </si>
  <si>
    <t>Ved indbygnign af såvel stive geonet som geoceller opnås en betydelig bæreevnetilvækst. Efter indbygning synes det tydeligt at det anvendte friktionsmateriale har ændret egenskaber, positivt. Ved efterfølgende kontrolmålinger med Minifaldlod ses en bæreevnetilvækst, men ofte stemmer den målte værdi ikke overens med det oplevede resultat. Oplevelsen er som oftest at der opnåes en markant forøgelse i frktionsmaterialets stivhed, mens der til tider kun måles beskedne værdier for bæreevnetilvæksten. Med dette forsøg ønskes belyst hvilken indflyselse poissons forhold har på bæreevnetilvæksten, og hvorvidt målinger med statiske pladebelastningsforsøg giver mere retvisende resultater end forsøg med minifaldlod.</t>
  </si>
  <si>
    <t>Eu (MN/m²)</t>
  </si>
  <si>
    <t>Uarmeret Eo=30</t>
  </si>
  <si>
    <t>Uarmeret Eo=45</t>
  </si>
  <si>
    <t>Uarmeret Eo=60</t>
  </si>
  <si>
    <t>Uarmeret Eo=80</t>
  </si>
  <si>
    <t>Uarmeret Eo=100</t>
  </si>
  <si>
    <t>Uarmeret Eo=120</t>
  </si>
  <si>
    <t>Uarmeret Eo=150</t>
  </si>
  <si>
    <t>Armeret Eo=30</t>
  </si>
  <si>
    <t>Armeret Eo=45</t>
  </si>
  <si>
    <t>Armeret Eo=60</t>
  </si>
  <si>
    <t>Armeret Eo=80</t>
  </si>
  <si>
    <t>Armeret Eo=100</t>
  </si>
  <si>
    <t>Armeret Eo=120</t>
  </si>
  <si>
    <t>Armeret Eo=150</t>
  </si>
  <si>
    <t>Diagrammer — Sand/grus med φ &gt; 35°</t>
  </si>
  <si>
    <t>Diagrammer fra eksisterende designmanual (Tensar)</t>
  </si>
  <si>
    <t>Bundgrus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</si>
</sst>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4"/>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2" tint="-0.499984740745262"/>
        <bgColor indexed="64"/>
      </patternFill>
    </fill>
    <fill>
      <patternFill patternType="solid">
        <fgColor theme="1"/>
        <bgColor indexed="64"/>
      </patternFill>
    </fill>
    <fill>
      <patternFill patternType="solid">
        <fgColor theme="0" tint="-4.9989318521683403E-2"/>
        <bgColor indexed="64"/>
      </patternFill>
    </fill>
    <fill>
      <patternFill patternType="solid">
        <fgColor rgb="FFF2F2F2"/>
        <bgColor indexed="64"/>
      </patternFill>
    </fill>
  </fills>
  <borders count="11">
    <border>
      <left/>
      <right/>
      <top/>
      <bottom/>
      <diagonal/>
    </border>
    <border>
      <left/>
      <right/>
      <top/>
      <bottom style="thin">
        <color indexed="64"/>
      </bottom>
      <diagonal/>
    </border>
    <border>
      <left/>
      <right/>
      <top/>
      <bottom style="dashDot">
        <color indexed="64"/>
      </bottom>
      <diagonal/>
    </border>
    <border>
      <left/>
      <right/>
      <top style="dashDot">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31">
    <xf numFmtId="0" fontId="0" fillId="0" borderId="0" xfId="0"/>
    <xf numFmtId="0" fontId="1" fillId="0" borderId="0" xfId="0" applyFont="1"/>
    <xf numFmtId="0" fontId="3" fillId="0" borderId="0" xfId="0" applyFont="1"/>
    <xf numFmtId="9" fontId="0" fillId="0" borderId="0" xfId="0" applyNumberFormat="1"/>
    <xf numFmtId="10" fontId="0" fillId="0" borderId="0" xfId="0" applyNumberFormat="1"/>
    <xf numFmtId="0" fontId="2" fillId="0" borderId="0" xfId="0" applyFont="1"/>
    <xf numFmtId="0" fontId="0" fillId="2" borderId="2" xfId="0" applyFill="1" applyBorder="1"/>
    <xf numFmtId="0" fontId="0" fillId="2" borderId="0" xfId="0" applyFill="1"/>
    <xf numFmtId="0" fontId="0" fillId="2" borderId="3" xfId="0"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3" borderId="0" xfId="0" applyFill="1"/>
    <xf numFmtId="0" fontId="0" fillId="0" borderId="9" xfId="0" applyBorder="1"/>
    <xf numFmtId="0" fontId="0" fillId="0" borderId="1" xfId="0" applyBorder="1"/>
    <xf numFmtId="0" fontId="0" fillId="0" borderId="10" xfId="0" applyBorder="1"/>
    <xf numFmtId="0" fontId="3" fillId="4" borderId="0" xfId="0" applyFont="1" applyFill="1"/>
    <xf numFmtId="0" fontId="0" fillId="5" borderId="0" xfId="0" applyFill="1"/>
    <xf numFmtId="0" fontId="1" fillId="5" borderId="0" xfId="0" applyFont="1" applyFill="1"/>
    <xf numFmtId="0" fontId="2" fillId="5" borderId="0" xfId="0" applyFont="1" applyFill="1"/>
    <xf numFmtId="9" fontId="0" fillId="5" borderId="0" xfId="0" quotePrefix="1" applyNumberFormat="1" applyFill="1"/>
    <xf numFmtId="0" fontId="0" fillId="5" borderId="0" xfId="0" quotePrefix="1" applyFill="1"/>
    <xf numFmtId="0" fontId="0" fillId="5" borderId="8" xfId="0" applyFill="1" applyBorder="1"/>
    <xf numFmtId="0" fontId="0" fillId="5" borderId="7" xfId="0" applyFill="1" applyBorder="1"/>
    <xf numFmtId="0" fontId="2" fillId="5" borderId="8" xfId="0" applyFont="1" applyFill="1" applyBorder="1"/>
    <xf numFmtId="0" fontId="2" fillId="5" borderId="7" xfId="0" applyFont="1" applyFill="1" applyBorder="1"/>
    <xf numFmtId="0" fontId="4" fillId="0" borderId="0" xfId="0" applyFont="1"/>
    <xf numFmtId="0" fontId="2" fillId="6" borderId="0" xfId="0" applyFont="1" applyFill="1"/>
    <xf numFmtId="49"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Eo = 30 MN/m²</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tx>
            <c:v>1 lag armering</c:v>
          </c:tx>
          <c:spPr>
            <a:ln w="19050" cap="rnd">
              <a:solidFill>
                <a:srgbClr val="1F4E79"/>
              </a:solidFill>
              <a:prstDash val="solid"/>
              <a:round/>
            </a:ln>
            <a:effectLst/>
          </c:spPr>
          <c:marker>
            <c:symbol val="diamond"/>
            <c:size val="7"/>
            <c:spPr>
              <a:solidFill>
                <a:srgbClr val="1F4E79"/>
              </a:solidFill>
              <a:ln w="9525">
                <a:solidFill>
                  <a:srgbClr val="1F4E79"/>
                </a:solidFill>
                <a:prstDash val="solid"/>
              </a:ln>
              <a:effectLst/>
            </c:spPr>
          </c:marker>
          <c:xVal>
            <c:numRef>
              <c:f>Diagrammer!$B$4:$B$10</c:f>
              <c:numCache>
                <c:formatCode>General</c:formatCode>
                <c:ptCount val="7"/>
                <c:pt idx="0">
                  <c:v>60</c:v>
                </c:pt>
                <c:pt idx="1">
                  <c:v>45</c:v>
                </c:pt>
                <c:pt idx="2">
                  <c:v>32</c:v>
                </c:pt>
                <c:pt idx="3">
                  <c:v>25</c:v>
                </c:pt>
                <c:pt idx="4">
                  <c:v>20</c:v>
                </c:pt>
                <c:pt idx="5">
                  <c:v>#N/A</c:v>
                </c:pt>
                <c:pt idx="6">
                  <c:v>#N/A</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0-A909-4448-BFFB-AA53768CC94B}"/>
            </c:ext>
          </c:extLst>
        </c:ser>
        <c:ser>
          <c:idx val="1"/>
          <c:order val="1"/>
          <c:tx>
            <c:v>Uarmeret</c:v>
          </c:tx>
          <c:spPr>
            <a:ln w="19050" cap="rnd">
              <a:solidFill>
                <a:srgbClr val="000000"/>
              </a:solidFill>
              <a:prstDash val="solid"/>
              <a:round/>
            </a:ln>
            <a:effectLst/>
          </c:spPr>
          <c:marker>
            <c:symbol val="triangle"/>
            <c:size val="7"/>
            <c:spPr>
              <a:solidFill>
                <a:srgbClr val="FFFF00"/>
              </a:solidFill>
              <a:ln w="9525">
                <a:solidFill>
                  <a:srgbClr val="000000"/>
                </a:solidFill>
                <a:prstDash val="solid"/>
              </a:ln>
              <a:effectLst/>
            </c:spPr>
          </c:marker>
          <c:xVal>
            <c:numRef>
              <c:f>Diagrammer!$J$4:$J$10</c:f>
              <c:numCache>
                <c:formatCode>General</c:formatCode>
                <c:ptCount val="7"/>
                <c:pt idx="0">
                  <c:v>90</c:v>
                </c:pt>
                <c:pt idx="1">
                  <c:v>70</c:v>
                </c:pt>
                <c:pt idx="2">
                  <c:v>55</c:v>
                </c:pt>
                <c:pt idx="3">
                  <c:v>38</c:v>
                </c:pt>
                <c:pt idx="4">
                  <c:v>29</c:v>
                </c:pt>
                <c:pt idx="5">
                  <c:v>#N/A</c:v>
                </c:pt>
                <c:pt idx="6">
                  <c:v>#N/A</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1-A909-4448-BFFB-AA53768CC94B}"/>
            </c:ext>
          </c:extLst>
        </c:ser>
        <c:dLbls>
          <c:showLegendKey val="0"/>
          <c:showVal val="0"/>
          <c:showCatName val="0"/>
          <c:showSerName val="0"/>
          <c:showPercent val="0"/>
          <c:showBubbleSize val="0"/>
        </c:dLbls>
        <c:axId val="1411203552"/>
        <c:axId val="1411204032"/>
      </c:scatterChart>
      <c:valAx>
        <c:axId val="1411203552"/>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Bærelagstykkelse i cm</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11204032"/>
        <c:crosses val="autoZero"/>
        <c:crossBetween val="midCat"/>
        <c:majorUnit val="20"/>
      </c:valAx>
      <c:valAx>
        <c:axId val="1411204032"/>
        <c:scaling>
          <c:orientation val="minMax"/>
          <c:max val="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Bundmodul Eu MN/m²</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11203552"/>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Eo = 45 MN/m²</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tx>
            <c:v>1 lag armering</c:v>
          </c:tx>
          <c:spPr>
            <a:ln w="19050" cap="rnd">
              <a:solidFill>
                <a:srgbClr val="1F4E79"/>
              </a:solidFill>
              <a:prstDash val="solid"/>
              <a:round/>
            </a:ln>
            <a:effectLst/>
          </c:spPr>
          <c:marker>
            <c:symbol val="diamond"/>
            <c:size val="7"/>
            <c:spPr>
              <a:solidFill>
                <a:srgbClr val="1F4E79"/>
              </a:solidFill>
              <a:ln w="9525">
                <a:solidFill>
                  <a:srgbClr val="1F4E79"/>
                </a:solidFill>
                <a:prstDash val="solid"/>
              </a:ln>
              <a:effectLst/>
            </c:spPr>
          </c:marker>
          <c:xVal>
            <c:numRef>
              <c:f>Diagrammer!$C$4:$C$10</c:f>
              <c:numCache>
                <c:formatCode>General</c:formatCode>
                <c:ptCount val="7"/>
                <c:pt idx="0">
                  <c:v>65</c:v>
                </c:pt>
                <c:pt idx="1">
                  <c:v>54</c:v>
                </c:pt>
                <c:pt idx="2">
                  <c:v>40</c:v>
                </c:pt>
                <c:pt idx="3">
                  <c:v>33</c:v>
                </c:pt>
                <c:pt idx="4">
                  <c:v>25</c:v>
                </c:pt>
                <c:pt idx="5">
                  <c:v>23</c:v>
                </c:pt>
                <c:pt idx="6">
                  <c:v>20</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0-1A4A-4061-91FC-E9EABE5EA0F5}"/>
            </c:ext>
          </c:extLst>
        </c:ser>
        <c:ser>
          <c:idx val="1"/>
          <c:order val="1"/>
          <c:tx>
            <c:v>Uarmeret</c:v>
          </c:tx>
          <c:spPr>
            <a:ln w="19050" cap="rnd">
              <a:solidFill>
                <a:srgbClr val="000000"/>
              </a:solidFill>
              <a:prstDash val="solid"/>
              <a:round/>
            </a:ln>
            <a:effectLst/>
          </c:spPr>
          <c:marker>
            <c:symbol val="triangle"/>
            <c:size val="7"/>
            <c:spPr>
              <a:solidFill>
                <a:srgbClr val="FFFF00"/>
              </a:solidFill>
              <a:ln w="9525">
                <a:solidFill>
                  <a:srgbClr val="000000"/>
                </a:solidFill>
                <a:prstDash val="solid"/>
              </a:ln>
              <a:effectLst/>
            </c:spPr>
          </c:marker>
          <c:xVal>
            <c:numRef>
              <c:f>Diagrammer!$K$4:$K$10</c:f>
              <c:numCache>
                <c:formatCode>General</c:formatCode>
                <c:ptCount val="7"/>
                <c:pt idx="0">
                  <c:v>100</c:v>
                </c:pt>
                <c:pt idx="1">
                  <c:v>82</c:v>
                </c:pt>
                <c:pt idx="2">
                  <c:v>60</c:v>
                </c:pt>
                <c:pt idx="3">
                  <c:v>45</c:v>
                </c:pt>
                <c:pt idx="4">
                  <c:v>35</c:v>
                </c:pt>
                <c:pt idx="5">
                  <c:v>32.5</c:v>
                </c:pt>
                <c:pt idx="6">
                  <c:v>25</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1-1A4A-4061-91FC-E9EABE5EA0F5}"/>
            </c:ext>
          </c:extLst>
        </c:ser>
        <c:dLbls>
          <c:showLegendKey val="0"/>
          <c:showVal val="0"/>
          <c:showCatName val="0"/>
          <c:showSerName val="0"/>
          <c:showPercent val="0"/>
          <c:showBubbleSize val="0"/>
        </c:dLbls>
        <c:axId val="335341552"/>
        <c:axId val="335342032"/>
      </c:scatterChart>
      <c:valAx>
        <c:axId val="335341552"/>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Bærelagstykkelse i cm</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35342032"/>
        <c:crosses val="autoZero"/>
        <c:crossBetween val="midCat"/>
        <c:majorUnit val="20"/>
      </c:valAx>
      <c:valAx>
        <c:axId val="335342032"/>
        <c:scaling>
          <c:orientation val="minMax"/>
          <c:max val="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Bundmodul Eu MN/m²</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35341552"/>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Eo = 60 MN/m²</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tx>
            <c:v>1 lag armering</c:v>
          </c:tx>
          <c:spPr>
            <a:ln w="19050" cap="rnd">
              <a:solidFill>
                <a:srgbClr val="1F4E79"/>
              </a:solidFill>
              <a:prstDash val="solid"/>
              <a:round/>
            </a:ln>
            <a:effectLst/>
          </c:spPr>
          <c:marker>
            <c:symbol val="diamond"/>
            <c:size val="7"/>
            <c:spPr>
              <a:solidFill>
                <a:srgbClr val="1F4E79"/>
              </a:solidFill>
              <a:ln w="9525">
                <a:solidFill>
                  <a:srgbClr val="1F4E79"/>
                </a:solidFill>
                <a:prstDash val="solid"/>
              </a:ln>
              <a:effectLst/>
            </c:spPr>
          </c:marker>
          <c:xVal>
            <c:numRef>
              <c:f>Diagrammer!$D$4:$D$10</c:f>
              <c:numCache>
                <c:formatCode>General</c:formatCode>
                <c:ptCount val="7"/>
                <c:pt idx="0">
                  <c:v>70</c:v>
                </c:pt>
                <c:pt idx="1">
                  <c:v>60</c:v>
                </c:pt>
                <c:pt idx="2">
                  <c:v>45</c:v>
                </c:pt>
                <c:pt idx="3">
                  <c:v>40</c:v>
                </c:pt>
                <c:pt idx="4">
                  <c:v>28</c:v>
                </c:pt>
                <c:pt idx="5">
                  <c:v>27</c:v>
                </c:pt>
                <c:pt idx="6">
                  <c:v>24.5</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0-28E4-4FBB-8787-9B6D99AE7E3D}"/>
            </c:ext>
          </c:extLst>
        </c:ser>
        <c:ser>
          <c:idx val="1"/>
          <c:order val="1"/>
          <c:tx>
            <c:v>Uarmeret</c:v>
          </c:tx>
          <c:spPr>
            <a:ln w="19050" cap="rnd">
              <a:solidFill>
                <a:srgbClr val="000000"/>
              </a:solidFill>
              <a:prstDash val="solid"/>
              <a:round/>
            </a:ln>
            <a:effectLst/>
          </c:spPr>
          <c:marker>
            <c:symbol val="triangle"/>
            <c:size val="7"/>
            <c:spPr>
              <a:solidFill>
                <a:srgbClr val="FFFF00"/>
              </a:solidFill>
              <a:ln w="9525">
                <a:solidFill>
                  <a:srgbClr val="000000"/>
                </a:solidFill>
                <a:prstDash val="solid"/>
              </a:ln>
              <a:effectLst/>
            </c:spPr>
          </c:marker>
          <c:xVal>
            <c:numRef>
              <c:f>Diagrammer!$L$4:$L$10</c:f>
              <c:numCache>
                <c:formatCode>General</c:formatCode>
                <c:ptCount val="7"/>
                <c:pt idx="0">
                  <c:v>110</c:v>
                </c:pt>
                <c:pt idx="1">
                  <c:v>95</c:v>
                </c:pt>
                <c:pt idx="2">
                  <c:v>65</c:v>
                </c:pt>
                <c:pt idx="3">
                  <c:v>50</c:v>
                </c:pt>
                <c:pt idx="4">
                  <c:v>38</c:v>
                </c:pt>
                <c:pt idx="5">
                  <c:v>37.5</c:v>
                </c:pt>
                <c:pt idx="6">
                  <c:v>35</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1-28E4-4FBB-8787-9B6D99AE7E3D}"/>
            </c:ext>
          </c:extLst>
        </c:ser>
        <c:dLbls>
          <c:showLegendKey val="0"/>
          <c:showVal val="0"/>
          <c:showCatName val="0"/>
          <c:showSerName val="0"/>
          <c:showPercent val="0"/>
          <c:showBubbleSize val="0"/>
        </c:dLbls>
        <c:axId val="795826864"/>
        <c:axId val="795827344"/>
      </c:scatterChart>
      <c:valAx>
        <c:axId val="795826864"/>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Bærelagstykkelse i cm</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95827344"/>
        <c:crosses val="autoZero"/>
        <c:crossBetween val="midCat"/>
        <c:majorUnit val="20"/>
      </c:valAx>
      <c:valAx>
        <c:axId val="795827344"/>
        <c:scaling>
          <c:orientation val="minMax"/>
          <c:max val="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Bundmodul Eu MN/m²</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95826864"/>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Eo = 80 MN/m²</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tx>
            <c:v>1 lag armering</c:v>
          </c:tx>
          <c:spPr>
            <a:ln w="19050" cap="rnd">
              <a:solidFill>
                <a:srgbClr val="1F4E79"/>
              </a:solidFill>
              <a:prstDash val="solid"/>
              <a:round/>
            </a:ln>
            <a:effectLst/>
          </c:spPr>
          <c:marker>
            <c:symbol val="diamond"/>
            <c:size val="7"/>
            <c:spPr>
              <a:solidFill>
                <a:srgbClr val="1F4E79"/>
              </a:solidFill>
              <a:ln w="9525">
                <a:solidFill>
                  <a:srgbClr val="1F4E79"/>
                </a:solidFill>
                <a:prstDash val="solid"/>
              </a:ln>
              <a:effectLst/>
            </c:spPr>
          </c:marker>
          <c:xVal>
            <c:numRef>
              <c:f>Diagrammer!$E$4:$E$10</c:f>
              <c:numCache>
                <c:formatCode>General</c:formatCode>
                <c:ptCount val="7"/>
                <c:pt idx="0">
                  <c:v>80</c:v>
                </c:pt>
                <c:pt idx="1">
                  <c:v>70</c:v>
                </c:pt>
                <c:pt idx="2">
                  <c:v>50</c:v>
                </c:pt>
                <c:pt idx="3">
                  <c:v>45</c:v>
                </c:pt>
                <c:pt idx="4">
                  <c:v>34</c:v>
                </c:pt>
                <c:pt idx="5">
                  <c:v>30</c:v>
                </c:pt>
                <c:pt idx="6">
                  <c:v>28</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0-2EF0-473D-8F82-CE205929E957}"/>
            </c:ext>
          </c:extLst>
        </c:ser>
        <c:ser>
          <c:idx val="1"/>
          <c:order val="1"/>
          <c:tx>
            <c:v>Uarmeret</c:v>
          </c:tx>
          <c:spPr>
            <a:ln w="19050" cap="rnd">
              <a:solidFill>
                <a:srgbClr val="000000"/>
              </a:solidFill>
              <a:prstDash val="solid"/>
              <a:round/>
            </a:ln>
            <a:effectLst/>
          </c:spPr>
          <c:marker>
            <c:symbol val="triangle"/>
            <c:size val="7"/>
            <c:spPr>
              <a:solidFill>
                <a:srgbClr val="FFFF00"/>
              </a:solidFill>
              <a:ln w="9525">
                <a:solidFill>
                  <a:srgbClr val="000000"/>
                </a:solidFill>
                <a:prstDash val="solid"/>
              </a:ln>
              <a:effectLst/>
            </c:spPr>
          </c:marker>
          <c:xVal>
            <c:numRef>
              <c:f>Diagrammer!$M$4:$M$10</c:f>
              <c:numCache>
                <c:formatCode>General</c:formatCode>
                <c:ptCount val="7"/>
                <c:pt idx="0">
                  <c:v>120</c:v>
                </c:pt>
                <c:pt idx="1">
                  <c:v>110</c:v>
                </c:pt>
                <c:pt idx="2">
                  <c:v>80</c:v>
                </c:pt>
                <c:pt idx="3">
                  <c:v>60</c:v>
                </c:pt>
                <c:pt idx="4">
                  <c:v>48</c:v>
                </c:pt>
                <c:pt idx="5">
                  <c:v>42.5</c:v>
                </c:pt>
                <c:pt idx="6">
                  <c:v>40</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1-2EF0-473D-8F82-CE205929E957}"/>
            </c:ext>
          </c:extLst>
        </c:ser>
        <c:dLbls>
          <c:showLegendKey val="0"/>
          <c:showVal val="0"/>
          <c:showCatName val="0"/>
          <c:showSerName val="0"/>
          <c:showPercent val="0"/>
          <c:showBubbleSize val="0"/>
        </c:dLbls>
        <c:axId val="628600560"/>
        <c:axId val="628602000"/>
      </c:scatterChart>
      <c:valAx>
        <c:axId val="628600560"/>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Bærelagstykkelse i cm</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628602000"/>
        <c:crosses val="autoZero"/>
        <c:crossBetween val="midCat"/>
        <c:majorUnit val="20"/>
      </c:valAx>
      <c:valAx>
        <c:axId val="628602000"/>
        <c:scaling>
          <c:orientation val="minMax"/>
          <c:max val="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Bundmodul Eu MN/m²</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628600560"/>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Eo = 100 MN/m²</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tx>
            <c:v>1 lag armering</c:v>
          </c:tx>
          <c:spPr>
            <a:ln w="19050" cap="rnd">
              <a:solidFill>
                <a:srgbClr val="1F4E79"/>
              </a:solidFill>
              <a:prstDash val="solid"/>
              <a:round/>
            </a:ln>
            <a:effectLst/>
          </c:spPr>
          <c:marker>
            <c:symbol val="diamond"/>
            <c:size val="7"/>
            <c:spPr>
              <a:solidFill>
                <a:srgbClr val="1F4E79"/>
              </a:solidFill>
              <a:ln w="9525">
                <a:solidFill>
                  <a:srgbClr val="1F4E79"/>
                </a:solidFill>
                <a:prstDash val="solid"/>
              </a:ln>
              <a:effectLst/>
            </c:spPr>
          </c:marker>
          <c:xVal>
            <c:numRef>
              <c:f>Diagrammer!$F$4:$F$10</c:f>
              <c:numCache>
                <c:formatCode>General</c:formatCode>
                <c:ptCount val="7"/>
                <c:pt idx="0">
                  <c:v>90</c:v>
                </c:pt>
                <c:pt idx="1">
                  <c:v>80</c:v>
                </c:pt>
                <c:pt idx="2">
                  <c:v>60</c:v>
                </c:pt>
                <c:pt idx="3">
                  <c:v>50</c:v>
                </c:pt>
                <c:pt idx="4">
                  <c:v>41</c:v>
                </c:pt>
                <c:pt idx="5">
                  <c:v>33</c:v>
                </c:pt>
                <c:pt idx="6">
                  <c:v>31</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0-C91F-47E5-9B5D-611926D5BA9A}"/>
            </c:ext>
          </c:extLst>
        </c:ser>
        <c:ser>
          <c:idx val="1"/>
          <c:order val="1"/>
          <c:tx>
            <c:v>Uarmeret</c:v>
          </c:tx>
          <c:spPr>
            <a:ln w="19050" cap="rnd">
              <a:solidFill>
                <a:srgbClr val="000000"/>
              </a:solidFill>
              <a:prstDash val="solid"/>
              <a:round/>
            </a:ln>
            <a:effectLst/>
          </c:spPr>
          <c:marker>
            <c:symbol val="triangle"/>
            <c:size val="7"/>
            <c:spPr>
              <a:solidFill>
                <a:srgbClr val="FFFF00"/>
              </a:solidFill>
              <a:ln w="9525">
                <a:solidFill>
                  <a:srgbClr val="000000"/>
                </a:solidFill>
                <a:prstDash val="solid"/>
              </a:ln>
              <a:effectLst/>
            </c:spPr>
          </c:marker>
          <c:xVal>
            <c:numRef>
              <c:f>Diagrammer!$N$4:$N$10</c:f>
              <c:numCache>
                <c:formatCode>General</c:formatCode>
                <c:ptCount val="7"/>
                <c:pt idx="0">
                  <c:v>135</c:v>
                </c:pt>
                <c:pt idx="1">
                  <c:v>120</c:v>
                </c:pt>
                <c:pt idx="2">
                  <c:v>90</c:v>
                </c:pt>
                <c:pt idx="3">
                  <c:v>70</c:v>
                </c:pt>
                <c:pt idx="4">
                  <c:v>58</c:v>
                </c:pt>
                <c:pt idx="5">
                  <c:v>47.5</c:v>
                </c:pt>
                <c:pt idx="6">
                  <c:v>45</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1-C91F-47E5-9B5D-611926D5BA9A}"/>
            </c:ext>
          </c:extLst>
        </c:ser>
        <c:dLbls>
          <c:showLegendKey val="0"/>
          <c:showVal val="0"/>
          <c:showCatName val="0"/>
          <c:showSerName val="0"/>
          <c:showPercent val="0"/>
          <c:showBubbleSize val="0"/>
        </c:dLbls>
        <c:axId val="852205616"/>
        <c:axId val="852189296"/>
      </c:scatterChart>
      <c:valAx>
        <c:axId val="852205616"/>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Bærelagstykkelse i cm</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852189296"/>
        <c:crosses val="autoZero"/>
        <c:crossBetween val="midCat"/>
        <c:majorUnit val="20"/>
      </c:valAx>
      <c:valAx>
        <c:axId val="852189296"/>
        <c:scaling>
          <c:orientation val="minMax"/>
          <c:max val="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Bundmodul Eu MN/m²</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852205616"/>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Eo = 120 MN/m²</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tx>
            <c:v>1 lag armering</c:v>
          </c:tx>
          <c:spPr>
            <a:ln w="19050" cap="rnd">
              <a:solidFill>
                <a:srgbClr val="1F4E79"/>
              </a:solidFill>
              <a:prstDash val="solid"/>
              <a:round/>
            </a:ln>
            <a:effectLst/>
          </c:spPr>
          <c:marker>
            <c:symbol val="diamond"/>
            <c:size val="7"/>
            <c:spPr>
              <a:solidFill>
                <a:srgbClr val="1F4E79"/>
              </a:solidFill>
              <a:ln w="9525">
                <a:solidFill>
                  <a:srgbClr val="1F4E79"/>
                </a:solidFill>
                <a:prstDash val="solid"/>
              </a:ln>
              <a:effectLst/>
            </c:spPr>
          </c:marker>
          <c:xVal>
            <c:numRef>
              <c:f>Diagrammer!$G$4:$G$10</c:f>
              <c:numCache>
                <c:formatCode>General</c:formatCode>
                <c:ptCount val="7"/>
                <c:pt idx="0">
                  <c:v>105</c:v>
                </c:pt>
                <c:pt idx="1">
                  <c:v>90</c:v>
                </c:pt>
                <c:pt idx="2">
                  <c:v>70</c:v>
                </c:pt>
                <c:pt idx="3">
                  <c:v>58</c:v>
                </c:pt>
                <c:pt idx="4">
                  <c:v>44</c:v>
                </c:pt>
                <c:pt idx="5">
                  <c:v>38</c:v>
                </c:pt>
                <c:pt idx="6">
                  <c:v>35</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0-319F-4E26-B44C-8186EF4D186D}"/>
            </c:ext>
          </c:extLst>
        </c:ser>
        <c:ser>
          <c:idx val="1"/>
          <c:order val="1"/>
          <c:tx>
            <c:v>Uarmeret</c:v>
          </c:tx>
          <c:spPr>
            <a:ln w="19050" cap="rnd">
              <a:solidFill>
                <a:srgbClr val="000000"/>
              </a:solidFill>
              <a:prstDash val="solid"/>
              <a:round/>
            </a:ln>
            <a:effectLst/>
          </c:spPr>
          <c:marker>
            <c:symbol val="triangle"/>
            <c:size val="7"/>
            <c:spPr>
              <a:solidFill>
                <a:srgbClr val="FFFF00"/>
              </a:solidFill>
              <a:ln w="9525">
                <a:solidFill>
                  <a:srgbClr val="000000"/>
                </a:solidFill>
                <a:prstDash val="solid"/>
              </a:ln>
              <a:effectLst/>
            </c:spPr>
          </c:marker>
          <c:xVal>
            <c:numRef>
              <c:f>Diagrammer!$O$4:$O$10</c:f>
              <c:numCache>
                <c:formatCode>General</c:formatCode>
                <c:ptCount val="7"/>
                <c:pt idx="0">
                  <c:v>150</c:v>
                </c:pt>
                <c:pt idx="1">
                  <c:v>130</c:v>
                </c:pt>
                <c:pt idx="2">
                  <c:v>100</c:v>
                </c:pt>
                <c:pt idx="3">
                  <c:v>80</c:v>
                </c:pt>
                <c:pt idx="4">
                  <c:v>63</c:v>
                </c:pt>
                <c:pt idx="5">
                  <c:v>55</c:v>
                </c:pt>
                <c:pt idx="6">
                  <c:v>50</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1-319F-4E26-B44C-8186EF4D186D}"/>
            </c:ext>
          </c:extLst>
        </c:ser>
        <c:dLbls>
          <c:showLegendKey val="0"/>
          <c:showVal val="0"/>
          <c:showCatName val="0"/>
          <c:showSerName val="0"/>
          <c:showPercent val="0"/>
          <c:showBubbleSize val="0"/>
        </c:dLbls>
        <c:axId val="852206576"/>
        <c:axId val="852193616"/>
      </c:scatterChart>
      <c:valAx>
        <c:axId val="852206576"/>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Bærelagstykkelse i cm</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852193616"/>
        <c:crosses val="autoZero"/>
        <c:crossBetween val="midCat"/>
        <c:majorUnit val="20"/>
      </c:valAx>
      <c:valAx>
        <c:axId val="852193616"/>
        <c:scaling>
          <c:orientation val="minMax"/>
          <c:max val="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Bundmodul Eu MN/m²</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852206576"/>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Eo = 150 MN/m²</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tx>
            <c:v>1 lag armering</c:v>
          </c:tx>
          <c:spPr>
            <a:ln w="19050" cap="rnd">
              <a:solidFill>
                <a:srgbClr val="1F4E79"/>
              </a:solidFill>
              <a:prstDash val="solid"/>
              <a:round/>
            </a:ln>
            <a:effectLst/>
          </c:spPr>
          <c:marker>
            <c:symbol val="diamond"/>
            <c:size val="7"/>
            <c:spPr>
              <a:solidFill>
                <a:srgbClr val="1F4E79"/>
              </a:solidFill>
              <a:ln w="9525">
                <a:solidFill>
                  <a:srgbClr val="1F4E79"/>
                </a:solidFill>
                <a:prstDash val="solid"/>
              </a:ln>
              <a:effectLst/>
            </c:spPr>
          </c:marker>
          <c:xVal>
            <c:numRef>
              <c:f>Diagrammer!$H$4:$H$10</c:f>
              <c:numCache>
                <c:formatCode>General</c:formatCode>
                <c:ptCount val="7"/>
                <c:pt idx="0">
                  <c:v>120</c:v>
                </c:pt>
                <c:pt idx="1">
                  <c:v>100</c:v>
                </c:pt>
                <c:pt idx="2">
                  <c:v>77</c:v>
                </c:pt>
                <c:pt idx="3">
                  <c:v>65</c:v>
                </c:pt>
                <c:pt idx="4">
                  <c:v>53</c:v>
                </c:pt>
                <c:pt idx="5">
                  <c:v>42</c:v>
                </c:pt>
                <c:pt idx="6">
                  <c:v>38</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0-82E3-4442-806C-6DE50D45BE02}"/>
            </c:ext>
          </c:extLst>
        </c:ser>
        <c:ser>
          <c:idx val="1"/>
          <c:order val="1"/>
          <c:tx>
            <c:v>Uarmeret</c:v>
          </c:tx>
          <c:spPr>
            <a:ln w="19050" cap="rnd">
              <a:solidFill>
                <a:srgbClr val="000000"/>
              </a:solidFill>
              <a:prstDash val="solid"/>
              <a:round/>
            </a:ln>
            <a:effectLst/>
          </c:spPr>
          <c:marker>
            <c:symbol val="triangle"/>
            <c:size val="7"/>
            <c:spPr>
              <a:solidFill>
                <a:srgbClr val="FFFF00"/>
              </a:solidFill>
              <a:ln w="9525">
                <a:solidFill>
                  <a:srgbClr val="000000"/>
                </a:solidFill>
                <a:prstDash val="solid"/>
              </a:ln>
              <a:effectLst/>
            </c:spPr>
          </c:marker>
          <c:xVal>
            <c:numRef>
              <c:f>Diagrammer!$P$4:$P$10</c:f>
              <c:numCache>
                <c:formatCode>General</c:formatCode>
                <c:ptCount val="7"/>
                <c:pt idx="0">
                  <c:v>170</c:v>
                </c:pt>
                <c:pt idx="1">
                  <c:v>140</c:v>
                </c:pt>
                <c:pt idx="2">
                  <c:v>110</c:v>
                </c:pt>
                <c:pt idx="3">
                  <c:v>90</c:v>
                </c:pt>
                <c:pt idx="4">
                  <c:v>75</c:v>
                </c:pt>
                <c:pt idx="5">
                  <c:v>60</c:v>
                </c:pt>
                <c:pt idx="6">
                  <c:v>55</c:v>
                </c:pt>
              </c:numCache>
            </c:numRef>
          </c:xVal>
          <c:yVal>
            <c:numRef>
              <c:f>Diagrammer!$A$4:$A$10</c:f>
              <c:numCache>
                <c:formatCode>General</c:formatCode>
                <c:ptCount val="7"/>
                <c:pt idx="0">
                  <c:v>2</c:v>
                </c:pt>
                <c:pt idx="1">
                  <c:v>5</c:v>
                </c:pt>
                <c:pt idx="2">
                  <c:v>10</c:v>
                </c:pt>
                <c:pt idx="3">
                  <c:v>15</c:v>
                </c:pt>
                <c:pt idx="4">
                  <c:v>20</c:v>
                </c:pt>
                <c:pt idx="5">
                  <c:v>30</c:v>
                </c:pt>
                <c:pt idx="6">
                  <c:v>40</c:v>
                </c:pt>
              </c:numCache>
            </c:numRef>
          </c:yVal>
          <c:smooth val="0"/>
          <c:extLst>
            <c:ext xmlns:c16="http://schemas.microsoft.com/office/drawing/2014/chart" uri="{C3380CC4-5D6E-409C-BE32-E72D297353CC}">
              <c16:uniqueId val="{00000001-82E3-4442-806C-6DE50D45BE02}"/>
            </c:ext>
          </c:extLst>
        </c:ser>
        <c:dLbls>
          <c:showLegendKey val="0"/>
          <c:showVal val="0"/>
          <c:showCatName val="0"/>
          <c:showSerName val="0"/>
          <c:showPercent val="0"/>
          <c:showBubbleSize val="0"/>
        </c:dLbls>
        <c:axId val="1475923424"/>
        <c:axId val="1475924864"/>
      </c:scatterChart>
      <c:valAx>
        <c:axId val="1475923424"/>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Bærelagstykkelse i cm</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75924864"/>
        <c:crosses val="autoZero"/>
        <c:crossBetween val="midCat"/>
        <c:majorUnit val="20"/>
      </c:valAx>
      <c:valAx>
        <c:axId val="1475924864"/>
        <c:scaling>
          <c:orientation val="minMax"/>
          <c:max val="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a:t>Bundmodul Eu MN/m²</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75923424"/>
        <c:crosses val="autoZero"/>
        <c:crossBetween val="midCat"/>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794926004228336E-2"/>
          <c:y val="0.11946928466642324"/>
          <c:w val="0.58985200845665964"/>
          <c:h val="0.68584218975168898"/>
        </c:manualLayout>
      </c:layout>
      <c:lineChart>
        <c:grouping val="standard"/>
        <c:varyColors val="0"/>
        <c:ser>
          <c:idx val="2"/>
          <c:order val="0"/>
          <c:tx>
            <c:strRef>
              <c:f>[1]Ark1!$D$1</c:f>
              <c:strCache>
                <c:ptCount val="1"/>
                <c:pt idx="0">
                  <c:v>Uarmeret</c:v>
                </c:pt>
              </c:strCache>
            </c:strRef>
          </c:tx>
          <c:spPr>
            <a:ln w="12700">
              <a:solidFill>
                <a:srgbClr val="000000"/>
              </a:solidFill>
              <a:prstDash val="solid"/>
            </a:ln>
          </c:spPr>
          <c:marker>
            <c:symbol val="triangle"/>
            <c:size val="3"/>
            <c:spPr>
              <a:solidFill>
                <a:srgbClr val="FFFF00"/>
              </a:solidFill>
              <a:ln>
                <a:solidFill>
                  <a:srgbClr val="FFFF00"/>
                </a:solidFill>
                <a:prstDash val="solid"/>
              </a:ln>
            </c:spPr>
          </c:marker>
          <c:cat>
            <c:numRef>
              <c:f>[1]Ark1!$A$2:$A$15</c:f>
              <c:numCache>
                <c:formatCode>General</c:formatCode>
                <c:ptCount val="14"/>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numCache>
            </c:numRef>
          </c:cat>
          <c:val>
            <c:numRef>
              <c:f>[1]Ark1!$D$2:$D$15</c:f>
              <c:numCache>
                <c:formatCode>General</c:formatCode>
                <c:ptCount val="14"/>
                <c:pt idx="0">
                  <c:v>45</c:v>
                </c:pt>
                <c:pt idx="1">
                  <c:v>36</c:v>
                </c:pt>
                <c:pt idx="2">
                  <c:v>29</c:v>
                </c:pt>
                <c:pt idx="3">
                  <c:v>23</c:v>
                </c:pt>
                <c:pt idx="4">
                  <c:v>18.5</c:v>
                </c:pt>
                <c:pt idx="5">
                  <c:v>15</c:v>
                </c:pt>
                <c:pt idx="6">
                  <c:v>12</c:v>
                </c:pt>
                <c:pt idx="7">
                  <c:v>10</c:v>
                </c:pt>
                <c:pt idx="8">
                  <c:v>8</c:v>
                </c:pt>
                <c:pt idx="9">
                  <c:v>6</c:v>
                </c:pt>
                <c:pt idx="10">
                  <c:v>4.9000000000000004</c:v>
                </c:pt>
                <c:pt idx="11">
                  <c:v>3.5</c:v>
                </c:pt>
                <c:pt idx="12">
                  <c:v>3</c:v>
                </c:pt>
                <c:pt idx="13">
                  <c:v>2.5</c:v>
                </c:pt>
              </c:numCache>
            </c:numRef>
          </c:val>
          <c:smooth val="0"/>
          <c:extLst>
            <c:ext xmlns:c16="http://schemas.microsoft.com/office/drawing/2014/chart" uri="{C3380CC4-5D6E-409C-BE32-E72D297353CC}">
              <c16:uniqueId val="{00000000-720F-4F99-9188-8566E5BF3AEC}"/>
            </c:ext>
          </c:extLst>
        </c:ser>
        <c:ser>
          <c:idx val="0"/>
          <c:order val="1"/>
          <c:tx>
            <c:strRef>
              <c:f>[1]Ark1!$B$1</c:f>
              <c:strCache>
                <c:ptCount val="1"/>
                <c:pt idx="0">
                  <c:v>1 lag armering</c:v>
                </c:pt>
              </c:strCache>
            </c:strRef>
          </c:tx>
          <c:spPr>
            <a:ln w="12700">
              <a:solidFill>
                <a:srgbClr val="000080"/>
              </a:solidFill>
              <a:prstDash val="solid"/>
            </a:ln>
          </c:spPr>
          <c:marker>
            <c:symbol val="diamond"/>
            <c:size val="3"/>
            <c:spPr>
              <a:solidFill>
                <a:srgbClr val="000080"/>
              </a:solidFill>
              <a:ln>
                <a:solidFill>
                  <a:srgbClr val="000080"/>
                </a:solidFill>
                <a:prstDash val="solid"/>
              </a:ln>
            </c:spPr>
          </c:marker>
          <c:cat>
            <c:numRef>
              <c:f>[1]Ark1!$A$2:$A$15</c:f>
              <c:numCache>
                <c:formatCode>General</c:formatCode>
                <c:ptCount val="14"/>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numCache>
            </c:numRef>
          </c:cat>
          <c:val>
            <c:numRef>
              <c:f>[1]Ark1!$B$2:$B$15</c:f>
              <c:numCache>
                <c:formatCode>General</c:formatCode>
                <c:ptCount val="14"/>
                <c:pt idx="2">
                  <c:v>22</c:v>
                </c:pt>
                <c:pt idx="3">
                  <c:v>16.5</c:v>
                </c:pt>
                <c:pt idx="4">
                  <c:v>12.5</c:v>
                </c:pt>
                <c:pt idx="5">
                  <c:v>9.5</c:v>
                </c:pt>
                <c:pt idx="6">
                  <c:v>6.7</c:v>
                </c:pt>
                <c:pt idx="7">
                  <c:v>5</c:v>
                </c:pt>
                <c:pt idx="8">
                  <c:v>3.4</c:v>
                </c:pt>
                <c:pt idx="9">
                  <c:v>2</c:v>
                </c:pt>
                <c:pt idx="10">
                  <c:v>1</c:v>
                </c:pt>
              </c:numCache>
            </c:numRef>
          </c:val>
          <c:smooth val="0"/>
          <c:extLst>
            <c:ext xmlns:c16="http://schemas.microsoft.com/office/drawing/2014/chart" uri="{C3380CC4-5D6E-409C-BE32-E72D297353CC}">
              <c16:uniqueId val="{00000001-720F-4F99-9188-8566E5BF3AEC}"/>
            </c:ext>
          </c:extLst>
        </c:ser>
        <c:ser>
          <c:idx val="1"/>
          <c:order val="2"/>
          <c:tx>
            <c:strRef>
              <c:f>[1]Ark1!$C$1</c:f>
              <c:strCache>
                <c:ptCount val="1"/>
                <c:pt idx="0">
                  <c:v>2 lag armering </c:v>
                </c:pt>
              </c:strCache>
            </c:strRef>
          </c:tx>
          <c:spPr>
            <a:ln w="12700">
              <a:solidFill>
                <a:srgbClr val="FF00FF"/>
              </a:solidFill>
              <a:prstDash val="solid"/>
            </a:ln>
          </c:spPr>
          <c:marker>
            <c:symbol val="square"/>
            <c:size val="3"/>
            <c:spPr>
              <a:solidFill>
                <a:srgbClr val="FF00FF"/>
              </a:solidFill>
              <a:ln>
                <a:solidFill>
                  <a:srgbClr val="FF00FF"/>
                </a:solidFill>
                <a:prstDash val="solid"/>
              </a:ln>
            </c:spPr>
          </c:marker>
          <c:cat>
            <c:numRef>
              <c:f>[1]Ark1!$A$2:$A$15</c:f>
              <c:numCache>
                <c:formatCode>General</c:formatCode>
                <c:ptCount val="14"/>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numCache>
            </c:numRef>
          </c:cat>
          <c:val>
            <c:numRef>
              <c:f>[1]Ark1!$C$2:$C$15</c:f>
              <c:numCache>
                <c:formatCode>General</c:formatCode>
                <c:ptCount val="14"/>
                <c:pt idx="6">
                  <c:v>5</c:v>
                </c:pt>
                <c:pt idx="7">
                  <c:v>3.2</c:v>
                </c:pt>
                <c:pt idx="8">
                  <c:v>2</c:v>
                </c:pt>
                <c:pt idx="9">
                  <c:v>1.1000000000000001</c:v>
                </c:pt>
              </c:numCache>
            </c:numRef>
          </c:val>
          <c:smooth val="0"/>
          <c:extLst>
            <c:ext xmlns:c16="http://schemas.microsoft.com/office/drawing/2014/chart" uri="{C3380CC4-5D6E-409C-BE32-E72D297353CC}">
              <c16:uniqueId val="{00000002-720F-4F99-9188-8566E5BF3AEC}"/>
            </c:ext>
          </c:extLst>
        </c:ser>
        <c:dLbls>
          <c:showLegendKey val="0"/>
          <c:showVal val="0"/>
          <c:showCatName val="0"/>
          <c:showSerName val="0"/>
          <c:showPercent val="0"/>
          <c:showBubbleSize val="0"/>
        </c:dLbls>
        <c:marker val="1"/>
        <c:smooth val="0"/>
        <c:axId val="337441544"/>
        <c:axId val="1"/>
      </c:lineChart>
      <c:catAx>
        <c:axId val="337441544"/>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a-DK"/>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a-DK"/>
          </a:p>
        </c:txPr>
        <c:crossAx val="337441544"/>
        <c:crosses val="autoZero"/>
        <c:crossBetween val="midCat"/>
      </c:valAx>
      <c:spPr>
        <a:solidFill>
          <a:srgbClr val="FFFFFF"/>
        </a:solidFill>
        <a:ln w="12700">
          <a:solidFill>
            <a:srgbClr val="FFFFFF"/>
          </a:solidFill>
          <a:prstDash val="solid"/>
        </a:ln>
      </c:spPr>
    </c:plotArea>
    <c:legend>
      <c:legendPos val="r"/>
      <c:layout>
        <c:manualLayout>
          <c:xMode val="edge"/>
          <c:yMode val="edge"/>
          <c:x val="0.72515856236786469"/>
          <c:y val="0.31858475911046197"/>
          <c:w val="0.25792811839323465"/>
          <c:h val="0.28318645254263286"/>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a-DK"/>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a-DK"/>
    </a:p>
  </c:txPr>
  <c:printSettings>
    <c:headerFooter alignWithMargins="0"/>
    <c:pageMargins b="1" l="0.75" r="0.75" t="1" header="0.5" footer="0.5"/>
    <c:pageSetup paperSize="9" orientation="landscape" horizontalDpi="180" verticalDpi="18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spPr>
            <a:ln w="28575" cap="rnd">
              <a:solidFill>
                <a:schemeClr val="accent1"/>
              </a:solidFill>
              <a:round/>
            </a:ln>
            <a:effectLst/>
          </c:spPr>
          <c:marker>
            <c:symbol val="none"/>
          </c:marker>
          <c:cat>
            <c:numRef>
              <c:f>'Ark3'!$A$58:$A$71</c:f>
              <c:numCache>
                <c:formatCode>General</c:formatCode>
                <c:ptCount val="14"/>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numCache>
            </c:numRef>
          </c:cat>
          <c:val>
            <c:numRef>
              <c:f>'Ark3'!$B$58:$B$71</c:f>
              <c:numCache>
                <c:formatCode>General</c:formatCode>
                <c:ptCount val="14"/>
                <c:pt idx="2">
                  <c:v>20</c:v>
                </c:pt>
                <c:pt idx="3">
                  <c:v>14</c:v>
                </c:pt>
                <c:pt idx="4">
                  <c:v>10</c:v>
                </c:pt>
                <c:pt idx="5">
                  <c:v>8</c:v>
                </c:pt>
                <c:pt idx="6">
                  <c:v>6</c:v>
                </c:pt>
                <c:pt idx="7">
                  <c:v>4.5</c:v>
                </c:pt>
                <c:pt idx="8">
                  <c:v>3</c:v>
                </c:pt>
                <c:pt idx="9">
                  <c:v>2</c:v>
                </c:pt>
                <c:pt idx="10">
                  <c:v>1</c:v>
                </c:pt>
              </c:numCache>
            </c:numRef>
          </c:val>
          <c:smooth val="0"/>
          <c:extLst>
            <c:ext xmlns:c16="http://schemas.microsoft.com/office/drawing/2014/chart" uri="{C3380CC4-5D6E-409C-BE32-E72D297353CC}">
              <c16:uniqueId val="{00000000-238F-42FB-83C8-2BCB66938B65}"/>
            </c:ext>
          </c:extLst>
        </c:ser>
        <c:ser>
          <c:idx val="2"/>
          <c:order val="2"/>
          <c:spPr>
            <a:ln w="28575" cap="rnd">
              <a:solidFill>
                <a:schemeClr val="accent3"/>
              </a:solidFill>
              <a:round/>
            </a:ln>
            <a:effectLst/>
          </c:spPr>
          <c:marker>
            <c:symbol val="none"/>
          </c:marker>
          <c:cat>
            <c:numRef>
              <c:f>'Ark3'!$A$58:$A$71</c:f>
              <c:numCache>
                <c:formatCode>General</c:formatCode>
                <c:ptCount val="14"/>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numCache>
            </c:numRef>
          </c:cat>
          <c:val>
            <c:numRef>
              <c:f>'Ark3'!$D$58:$D$71</c:f>
              <c:numCache>
                <c:formatCode>General</c:formatCode>
                <c:ptCount val="14"/>
                <c:pt idx="2">
                  <c:v>36</c:v>
                </c:pt>
                <c:pt idx="3">
                  <c:v>28</c:v>
                </c:pt>
                <c:pt idx="4">
                  <c:v>20</c:v>
                </c:pt>
                <c:pt idx="5">
                  <c:v>15</c:v>
                </c:pt>
                <c:pt idx="6">
                  <c:v>12</c:v>
                </c:pt>
                <c:pt idx="7">
                  <c:v>9.5</c:v>
                </c:pt>
                <c:pt idx="8">
                  <c:v>7</c:v>
                </c:pt>
                <c:pt idx="9">
                  <c:v>5</c:v>
                </c:pt>
                <c:pt idx="10">
                  <c:v>3</c:v>
                </c:pt>
              </c:numCache>
            </c:numRef>
          </c:val>
          <c:smooth val="0"/>
          <c:extLst>
            <c:ext xmlns:c16="http://schemas.microsoft.com/office/drawing/2014/chart" uri="{C3380CC4-5D6E-409C-BE32-E72D297353CC}">
              <c16:uniqueId val="{00000002-238F-42FB-83C8-2BCB66938B65}"/>
            </c:ext>
          </c:extLst>
        </c:ser>
        <c:dLbls>
          <c:showLegendKey val="0"/>
          <c:showVal val="0"/>
          <c:showCatName val="0"/>
          <c:showSerName val="0"/>
          <c:showPercent val="0"/>
          <c:showBubbleSize val="0"/>
        </c:dLbls>
        <c:smooth val="0"/>
        <c:axId val="203566160"/>
        <c:axId val="203566488"/>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numRef>
                    <c:extLst>
                      <c:ext uri="{02D57815-91ED-43cb-92C2-25804820EDAC}">
                        <c15:formulaRef>
                          <c15:sqref>'Ark3'!$A$58:$A$71</c15:sqref>
                        </c15:formulaRef>
                      </c:ext>
                    </c:extLst>
                    <c:numCache>
                      <c:formatCode>General</c:formatCode>
                      <c:ptCount val="14"/>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numCache>
                  </c:numRef>
                </c:cat>
                <c:val>
                  <c:numRef>
                    <c:extLst>
                      <c:ext uri="{02D57815-91ED-43cb-92C2-25804820EDAC}">
                        <c15:formulaRef>
                          <c15:sqref>'Ark3'!$C$58:$C$71</c15:sqref>
                        </c15:formulaRef>
                      </c:ext>
                    </c:extLst>
                    <c:numCache>
                      <c:formatCode>General</c:formatCode>
                      <c:ptCount val="14"/>
                    </c:numCache>
                  </c:numRef>
                </c:val>
                <c:smooth val="0"/>
                <c:extLst>
                  <c:ext xmlns:c16="http://schemas.microsoft.com/office/drawing/2014/chart" uri="{C3380CC4-5D6E-409C-BE32-E72D297353CC}">
                    <c16:uniqueId val="{00000001-238F-42FB-83C8-2BCB66938B65}"/>
                  </c:ext>
                </c:extLst>
              </c15:ser>
            </c15:filteredLineSeries>
          </c:ext>
        </c:extLst>
      </c:lineChart>
      <c:catAx>
        <c:axId val="20356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03566488"/>
        <c:crosses val="autoZero"/>
        <c:auto val="1"/>
        <c:lblAlgn val="ctr"/>
        <c:lblOffset val="100"/>
        <c:noMultiLvlLbl val="0"/>
      </c:catAx>
      <c:valAx>
        <c:axId val="203566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203566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254000</xdr:colOff>
      <xdr:row>14</xdr:row>
      <xdr:rowOff>79375</xdr:rowOff>
    </xdr:from>
    <xdr:to>
      <xdr:col>4</xdr:col>
      <xdr:colOff>949325</xdr:colOff>
      <xdr:row>33</xdr:row>
      <xdr:rowOff>142875</xdr:rowOff>
    </xdr:to>
    <xdr:graphicFrame macro="">
      <xdr:nvGraphicFramePr>
        <xdr:cNvPr id="10" name="Diagram_Eo_30">
          <a:extLst>
            <a:ext uri="{FF2B5EF4-FFF2-40B4-BE49-F238E27FC236}">
              <a16:creationId xmlns:a16="http://schemas.microsoft.com/office/drawing/2014/main" id="{8465C281-A31D-2328-E18A-6B6EE9847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187325</xdr:colOff>
      <xdr:row>14</xdr:row>
      <xdr:rowOff>79375</xdr:rowOff>
    </xdr:from>
    <xdr:to>
      <xdr:col>11</xdr:col>
      <xdr:colOff>263525</xdr:colOff>
      <xdr:row>33</xdr:row>
      <xdr:rowOff>142875</xdr:rowOff>
    </xdr:to>
    <xdr:graphicFrame macro="">
      <xdr:nvGraphicFramePr>
        <xdr:cNvPr id="11" name="Diagram_Eo_45">
          <a:extLst>
            <a:ext uri="{FF2B5EF4-FFF2-40B4-BE49-F238E27FC236}">
              <a16:creationId xmlns:a16="http://schemas.microsoft.com/office/drawing/2014/main" id="{5E9B1A0A-9C86-C7EE-5ACE-56352778E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35</xdr:row>
      <xdr:rowOff>142875</xdr:rowOff>
    </xdr:from>
    <xdr:to>
      <xdr:col>4</xdr:col>
      <xdr:colOff>949325</xdr:colOff>
      <xdr:row>55</xdr:row>
      <xdr:rowOff>15875</xdr:rowOff>
    </xdr:to>
    <xdr:graphicFrame macro="">
      <xdr:nvGraphicFramePr>
        <xdr:cNvPr id="12" name="Diagram_Eo_60">
          <a:extLst>
            <a:ext uri="{FF2B5EF4-FFF2-40B4-BE49-F238E27FC236}">
              <a16:creationId xmlns:a16="http://schemas.microsoft.com/office/drawing/2014/main" id="{56E5B6C0-11C8-2F95-9286-042E110B8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187325</xdr:colOff>
      <xdr:row>35</xdr:row>
      <xdr:rowOff>142875</xdr:rowOff>
    </xdr:from>
    <xdr:to>
      <xdr:col>11</xdr:col>
      <xdr:colOff>263525</xdr:colOff>
      <xdr:row>55</xdr:row>
      <xdr:rowOff>15875</xdr:rowOff>
    </xdr:to>
    <xdr:graphicFrame macro="">
      <xdr:nvGraphicFramePr>
        <xdr:cNvPr id="13" name="Diagram_Eo_80">
          <a:extLst>
            <a:ext uri="{FF2B5EF4-FFF2-40B4-BE49-F238E27FC236}">
              <a16:creationId xmlns:a16="http://schemas.microsoft.com/office/drawing/2014/main" id="{AC18E960-7ECC-D1FC-B20C-0031573B9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254000</xdr:colOff>
      <xdr:row>57</xdr:row>
      <xdr:rowOff>15875</xdr:rowOff>
    </xdr:from>
    <xdr:to>
      <xdr:col>4</xdr:col>
      <xdr:colOff>949325</xdr:colOff>
      <xdr:row>76</xdr:row>
      <xdr:rowOff>79375</xdr:rowOff>
    </xdr:to>
    <xdr:graphicFrame macro="">
      <xdr:nvGraphicFramePr>
        <xdr:cNvPr id="14" name="Diagram_Eo_100">
          <a:extLst>
            <a:ext uri="{FF2B5EF4-FFF2-40B4-BE49-F238E27FC236}">
              <a16:creationId xmlns:a16="http://schemas.microsoft.com/office/drawing/2014/main" id="{C06045CD-D8F9-A528-EE08-A7236C8C0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187325</xdr:colOff>
      <xdr:row>57</xdr:row>
      <xdr:rowOff>15875</xdr:rowOff>
    </xdr:from>
    <xdr:to>
      <xdr:col>11</xdr:col>
      <xdr:colOff>263525</xdr:colOff>
      <xdr:row>76</xdr:row>
      <xdr:rowOff>79375</xdr:rowOff>
    </xdr:to>
    <xdr:graphicFrame macro="">
      <xdr:nvGraphicFramePr>
        <xdr:cNvPr id="15" name="Diagram_Eo_120">
          <a:extLst>
            <a:ext uri="{FF2B5EF4-FFF2-40B4-BE49-F238E27FC236}">
              <a16:creationId xmlns:a16="http://schemas.microsoft.com/office/drawing/2014/main" id="{6D3CB668-3BE8-8F2C-8977-20886A663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254000</xdr:colOff>
      <xdr:row>78</xdr:row>
      <xdr:rowOff>79375</xdr:rowOff>
    </xdr:from>
    <xdr:to>
      <xdr:col>4</xdr:col>
      <xdr:colOff>949325</xdr:colOff>
      <xdr:row>97</xdr:row>
      <xdr:rowOff>142875</xdr:rowOff>
    </xdr:to>
    <xdr:graphicFrame macro="">
      <xdr:nvGraphicFramePr>
        <xdr:cNvPr id="16" name="Diagram_Eo_150">
          <a:extLst>
            <a:ext uri="{FF2B5EF4-FFF2-40B4-BE49-F238E27FC236}">
              <a16:creationId xmlns:a16="http://schemas.microsoft.com/office/drawing/2014/main" id="{5CDFAAC7-C764-E1CA-644D-E29541980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23965</xdr:colOff>
      <xdr:row>112</xdr:row>
      <xdr:rowOff>142874</xdr:rowOff>
    </xdr:from>
    <xdr:to>
      <xdr:col>2</xdr:col>
      <xdr:colOff>838616</xdr:colOff>
      <xdr:row>124</xdr:row>
      <xdr:rowOff>-1</xdr:rowOff>
    </xdr:to>
    <xdr:pic>
      <xdr:nvPicPr>
        <xdr:cNvPr id="2" name="Billede 1">
          <a:extLst>
            <a:ext uri="{FF2B5EF4-FFF2-40B4-BE49-F238E27FC236}">
              <a16:creationId xmlns:a16="http://schemas.microsoft.com/office/drawing/2014/main" id="{40CE9B85-26E4-437D-A585-116EB9B05D4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3965" y="21530829"/>
          <a:ext cx="3169924"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94621</xdr:colOff>
      <xdr:row>125</xdr:row>
      <xdr:rowOff>28576</xdr:rowOff>
    </xdr:from>
    <xdr:to>
      <xdr:col>3</xdr:col>
      <xdr:colOff>26710</xdr:colOff>
      <xdr:row>136</xdr:row>
      <xdr:rowOff>133350</xdr:rowOff>
    </xdr:to>
    <xdr:pic>
      <xdr:nvPicPr>
        <xdr:cNvPr id="3" name="Billede 2">
          <a:extLst>
            <a:ext uri="{FF2B5EF4-FFF2-40B4-BE49-F238E27FC236}">
              <a16:creationId xmlns:a16="http://schemas.microsoft.com/office/drawing/2014/main" id="{37DFF811-B4F9-4FBD-966D-0D1345FC74D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4621" y="23893031"/>
          <a:ext cx="3430362" cy="2200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xdr:row>
      <xdr:rowOff>175846</xdr:rowOff>
    </xdr:from>
    <xdr:to>
      <xdr:col>3</xdr:col>
      <xdr:colOff>200181</xdr:colOff>
      <xdr:row>152</xdr:row>
      <xdr:rowOff>87923</xdr:rowOff>
    </xdr:to>
    <xdr:pic>
      <xdr:nvPicPr>
        <xdr:cNvPr id="4" name="Billede 3">
          <a:extLst>
            <a:ext uri="{FF2B5EF4-FFF2-40B4-BE49-F238E27FC236}">
              <a16:creationId xmlns:a16="http://schemas.microsoft.com/office/drawing/2014/main" id="{71DFF868-FCFB-4751-AC09-26A566DAA18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0" y="26516801"/>
          <a:ext cx="3698454" cy="2579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209150</xdr:colOff>
      <xdr:row>112</xdr:row>
      <xdr:rowOff>0</xdr:rowOff>
    </xdr:from>
    <xdr:to>
      <xdr:col>6</xdr:col>
      <xdr:colOff>487573</xdr:colOff>
      <xdr:row>125</xdr:row>
      <xdr:rowOff>88165</xdr:rowOff>
    </xdr:to>
    <xdr:pic>
      <xdr:nvPicPr>
        <xdr:cNvPr id="5" name="Billede 4">
          <a:extLst>
            <a:ext uri="{FF2B5EF4-FFF2-40B4-BE49-F238E27FC236}">
              <a16:creationId xmlns:a16="http://schemas.microsoft.com/office/drawing/2014/main" id="{798781A4-55CF-4017-9357-DDD7C180D8E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707423" y="21387955"/>
          <a:ext cx="3707423" cy="2564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194497</xdr:colOff>
      <xdr:row>126</xdr:row>
      <xdr:rowOff>0</xdr:rowOff>
    </xdr:from>
    <xdr:to>
      <xdr:col>6</xdr:col>
      <xdr:colOff>428959</xdr:colOff>
      <xdr:row>138</xdr:row>
      <xdr:rowOff>183887</xdr:rowOff>
    </xdr:to>
    <xdr:pic>
      <xdr:nvPicPr>
        <xdr:cNvPr id="6" name="Billede 5">
          <a:extLst>
            <a:ext uri="{FF2B5EF4-FFF2-40B4-BE49-F238E27FC236}">
              <a16:creationId xmlns:a16="http://schemas.microsoft.com/office/drawing/2014/main" id="{F45C741B-8397-47C4-AE0A-959BB9F14458}"/>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692770" y="24054955"/>
          <a:ext cx="3663462" cy="24698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194496</xdr:colOff>
      <xdr:row>140</xdr:row>
      <xdr:rowOff>0</xdr:rowOff>
    </xdr:from>
    <xdr:to>
      <xdr:col>6</xdr:col>
      <xdr:colOff>443612</xdr:colOff>
      <xdr:row>153</xdr:row>
      <xdr:rowOff>161425</xdr:rowOff>
    </xdr:to>
    <xdr:pic>
      <xdr:nvPicPr>
        <xdr:cNvPr id="7" name="Billede 6">
          <a:extLst>
            <a:ext uri="{FF2B5EF4-FFF2-40B4-BE49-F238E27FC236}">
              <a16:creationId xmlns:a16="http://schemas.microsoft.com/office/drawing/2014/main" id="{67541AB3-FB9B-4070-B1E7-B90697B8D9D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92769" y="26721955"/>
          <a:ext cx="3678116" cy="2637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447675</xdr:colOff>
      <xdr:row>73</xdr:row>
      <xdr:rowOff>47625</xdr:rowOff>
    </xdr:from>
    <xdr:to>
      <xdr:col>20</xdr:col>
      <xdr:colOff>9525</xdr:colOff>
      <xdr:row>86</xdr:row>
      <xdr:rowOff>95250</xdr:rowOff>
    </xdr:to>
    <xdr:graphicFrame macro="">
      <xdr:nvGraphicFramePr>
        <xdr:cNvPr id="5" name="Diagram 1">
          <a:extLst>
            <a:ext uri="{FF2B5EF4-FFF2-40B4-BE49-F238E27FC236}">
              <a16:creationId xmlns:a16="http://schemas.microsoft.com/office/drawing/2014/main" id="{0065D8F9-D5B1-4E69-8486-4057DD328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423862</xdr:colOff>
      <xdr:row>57</xdr:row>
      <xdr:rowOff>152400</xdr:rowOff>
    </xdr:from>
    <xdr:to>
      <xdr:col>20</xdr:col>
      <xdr:colOff>119062</xdr:colOff>
      <xdr:row>72</xdr:row>
      <xdr:rowOff>38100</xdr:rowOff>
    </xdr:to>
    <xdr:graphicFrame macro="">
      <xdr:nvGraphicFramePr>
        <xdr:cNvPr id="6" name="Diagram 5">
          <a:extLst>
            <a:ext uri="{FF2B5EF4-FFF2-40B4-BE49-F238E27FC236}">
              <a16:creationId xmlns:a16="http://schemas.microsoft.com/office/drawing/2014/main" id="{ACE75297-B782-4542-9F3D-85934F9DC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gneark%20i%20I%20%20Byg%20Paradima%20projekt%20Vej%20-%20stabilisering%20GS-Grid%20DESIGNMANUAL%201116.doc%20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k1"/>
    </sheetNames>
    <sheetDataSet>
      <sheetData sheetId="0">
        <row r="1">
          <cell r="B1" t="str">
            <v>1 lag armering</v>
          </cell>
          <cell r="C1" t="str">
            <v xml:space="preserve">2 lag armering </v>
          </cell>
          <cell r="D1" t="str">
            <v>Uarmeret</v>
          </cell>
        </row>
        <row r="2">
          <cell r="A2">
            <v>0</v>
          </cell>
          <cell r="D2">
            <v>45</v>
          </cell>
        </row>
        <row r="3">
          <cell r="A3">
            <v>10</v>
          </cell>
          <cell r="D3">
            <v>36</v>
          </cell>
        </row>
        <row r="4">
          <cell r="A4">
            <v>20</v>
          </cell>
          <cell r="B4">
            <v>22</v>
          </cell>
          <cell r="D4">
            <v>29</v>
          </cell>
        </row>
        <row r="5">
          <cell r="A5">
            <v>30</v>
          </cell>
          <cell r="B5">
            <v>16.5</v>
          </cell>
          <cell r="D5">
            <v>23</v>
          </cell>
        </row>
        <row r="6">
          <cell r="A6">
            <v>40</v>
          </cell>
          <cell r="B6">
            <v>12.5</v>
          </cell>
          <cell r="D6">
            <v>18.5</v>
          </cell>
        </row>
        <row r="7">
          <cell r="A7">
            <v>50</v>
          </cell>
          <cell r="B7">
            <v>9.5</v>
          </cell>
          <cell r="D7">
            <v>15</v>
          </cell>
        </row>
        <row r="8">
          <cell r="A8">
            <v>60</v>
          </cell>
          <cell r="B8">
            <v>6.7</v>
          </cell>
          <cell r="C8">
            <v>5</v>
          </cell>
          <cell r="D8">
            <v>12</v>
          </cell>
        </row>
        <row r="9">
          <cell r="A9">
            <v>70</v>
          </cell>
          <cell r="B9">
            <v>5</v>
          </cell>
          <cell r="C9">
            <v>3.2</v>
          </cell>
          <cell r="D9">
            <v>10</v>
          </cell>
        </row>
        <row r="10">
          <cell r="A10">
            <v>80</v>
          </cell>
          <cell r="B10">
            <v>3.4</v>
          </cell>
          <cell r="C10">
            <v>2</v>
          </cell>
          <cell r="D10">
            <v>8</v>
          </cell>
        </row>
        <row r="11">
          <cell r="A11">
            <v>90</v>
          </cell>
          <cell r="B11">
            <v>2</v>
          </cell>
          <cell r="C11">
            <v>1.1000000000000001</v>
          </cell>
          <cell r="D11">
            <v>6</v>
          </cell>
        </row>
        <row r="12">
          <cell r="A12">
            <v>100</v>
          </cell>
          <cell r="B12">
            <v>1</v>
          </cell>
          <cell r="D12">
            <v>4.9000000000000004</v>
          </cell>
        </row>
        <row r="13">
          <cell r="A13">
            <v>110</v>
          </cell>
          <cell r="D13">
            <v>3.5</v>
          </cell>
        </row>
        <row r="14">
          <cell r="A14">
            <v>120</v>
          </cell>
          <cell r="D14">
            <v>3</v>
          </cell>
        </row>
        <row r="15">
          <cell r="A15">
            <v>130</v>
          </cell>
          <cell r="D15">
            <v>2.5</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A9763F-BC41-4952-BFE0-1A46BB52BCC5}">
  <we:reference id="WA200009404" version="1.0.0.8" store="Omex" storeType="OMEX"/>
  <we:alternateReferences>
    <we:reference id="WA200009404" version="1.0.0.8" store="WA200009404" storeType="OMEX"/>
  </we:alternateReferences>
  <we:properties>
    <we:property name="claude.fileId" value="&quot;2a2bd5d7-550a-4eaf-8e3b-9e869d03d1c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4"/>
  <sheetViews>
    <sheetView zoomScale="68" workbookViewId="0">
      <selection activeCell="V22" sqref="V22"/>
    </sheetView>
  </sheetViews>
  <sheetFormatPr defaultRowHeight="15" x14ac:dyDescent="0.25"/>
  <cols>
    <col min="2" max="2" width="6.28515625" bestFit="1" customWidth="1"/>
    <col min="8" max="8" width="5.140625" bestFit="1" customWidth="1"/>
    <col min="9" max="9" width="1.5703125" customWidth="1"/>
    <col min="16" max="16" width="1.5703125" customWidth="1"/>
  </cols>
  <sheetData>
    <row r="1" spans="1:23" x14ac:dyDescent="0.25">
      <c r="A1" t="s">
        <v>0</v>
      </c>
    </row>
    <row r="2" spans="1:23" x14ac:dyDescent="0.25">
      <c r="A2" t="s">
        <v>9</v>
      </c>
      <c r="F2" t="s">
        <v>12</v>
      </c>
    </row>
    <row r="3" spans="1:23" x14ac:dyDescent="0.25">
      <c r="D3" t="s">
        <v>10</v>
      </c>
      <c r="J3" t="s">
        <v>14</v>
      </c>
      <c r="R3" t="s">
        <v>11</v>
      </c>
      <c r="W3" t="s">
        <v>13</v>
      </c>
    </row>
    <row r="4" spans="1:23" x14ac:dyDescent="0.25">
      <c r="A4" t="s">
        <v>2</v>
      </c>
      <c r="D4" t="s">
        <v>15</v>
      </c>
      <c r="R4" t="s">
        <v>15</v>
      </c>
    </row>
    <row r="5" spans="1:23" x14ac:dyDescent="0.25">
      <c r="B5" t="s">
        <v>4</v>
      </c>
      <c r="C5">
        <v>45</v>
      </c>
      <c r="D5">
        <v>80</v>
      </c>
      <c r="E5">
        <v>100</v>
      </c>
      <c r="F5">
        <v>120</v>
      </c>
      <c r="G5">
        <v>150</v>
      </c>
      <c r="H5" t="s">
        <v>3</v>
      </c>
      <c r="Q5">
        <v>45</v>
      </c>
      <c r="R5">
        <v>80</v>
      </c>
      <c r="S5">
        <v>100</v>
      </c>
      <c r="T5">
        <v>120</v>
      </c>
      <c r="U5">
        <v>150</v>
      </c>
      <c r="V5" t="s">
        <v>3</v>
      </c>
    </row>
    <row r="6" spans="1:23" x14ac:dyDescent="0.25">
      <c r="A6" t="s">
        <v>1</v>
      </c>
    </row>
    <row r="7" spans="1:23" x14ac:dyDescent="0.25">
      <c r="A7">
        <v>5</v>
      </c>
      <c r="B7" t="s">
        <v>5</v>
      </c>
      <c r="C7">
        <v>275</v>
      </c>
      <c r="D7">
        <v>385</v>
      </c>
      <c r="E7">
        <v>645</v>
      </c>
      <c r="F7">
        <v>710</v>
      </c>
      <c r="G7">
        <v>825</v>
      </c>
      <c r="O7" t="s">
        <v>16</v>
      </c>
      <c r="Q7" s="1">
        <v>500</v>
      </c>
      <c r="R7">
        <v>630</v>
      </c>
      <c r="S7">
        <v>900</v>
      </c>
      <c r="T7">
        <v>1150</v>
      </c>
      <c r="U7">
        <v>1400</v>
      </c>
    </row>
    <row r="8" spans="1:23" x14ac:dyDescent="0.25">
      <c r="B8" t="s">
        <v>6</v>
      </c>
      <c r="C8">
        <v>275</v>
      </c>
      <c r="D8">
        <v>495</v>
      </c>
      <c r="E8">
        <v>815</v>
      </c>
      <c r="F8">
        <v>880</v>
      </c>
      <c r="G8">
        <v>975</v>
      </c>
      <c r="Q8" s="1"/>
    </row>
    <row r="9" spans="1:23" x14ac:dyDescent="0.25">
      <c r="Q9" s="1"/>
    </row>
    <row r="10" spans="1:23" x14ac:dyDescent="0.25">
      <c r="A10">
        <v>10</v>
      </c>
      <c r="B10" t="s">
        <v>5</v>
      </c>
      <c r="C10">
        <v>275</v>
      </c>
      <c r="D10">
        <v>285</v>
      </c>
      <c r="E10">
        <v>410</v>
      </c>
      <c r="F10">
        <v>495</v>
      </c>
      <c r="G10">
        <v>630</v>
      </c>
      <c r="Q10" s="1">
        <v>500</v>
      </c>
      <c r="R10">
        <v>500</v>
      </c>
      <c r="S10">
        <v>680</v>
      </c>
      <c r="T10">
        <v>800</v>
      </c>
      <c r="U10">
        <v>1010</v>
      </c>
    </row>
    <row r="11" spans="1:23" x14ac:dyDescent="0.25">
      <c r="B11" t="s">
        <v>6</v>
      </c>
      <c r="C11">
        <v>275</v>
      </c>
      <c r="D11">
        <v>375</v>
      </c>
      <c r="E11">
        <v>545</v>
      </c>
      <c r="F11">
        <v>645</v>
      </c>
      <c r="G11">
        <v>760</v>
      </c>
      <c r="Q11" s="1"/>
    </row>
    <row r="12" spans="1:23" x14ac:dyDescent="0.25">
      <c r="Q12" s="1"/>
    </row>
    <row r="13" spans="1:23" x14ac:dyDescent="0.25">
      <c r="A13">
        <v>15</v>
      </c>
      <c r="B13" t="s">
        <v>5</v>
      </c>
      <c r="C13">
        <v>275</v>
      </c>
      <c r="D13">
        <v>215</v>
      </c>
      <c r="E13">
        <v>305</v>
      </c>
      <c r="F13">
        <v>375</v>
      </c>
      <c r="G13">
        <v>475</v>
      </c>
      <c r="Q13" s="1">
        <v>500</v>
      </c>
      <c r="R13">
        <v>350</v>
      </c>
      <c r="S13">
        <v>490</v>
      </c>
      <c r="T13">
        <v>600</v>
      </c>
      <c r="U13">
        <v>760</v>
      </c>
    </row>
    <row r="14" spans="1:23" x14ac:dyDescent="0.25">
      <c r="B14" t="s">
        <v>6</v>
      </c>
      <c r="C14">
        <v>275</v>
      </c>
      <c r="D14">
        <v>270</v>
      </c>
      <c r="E14">
        <v>385</v>
      </c>
      <c r="F14">
        <v>475</v>
      </c>
      <c r="G14">
        <v>575</v>
      </c>
      <c r="Q14" s="1"/>
    </row>
    <row r="15" spans="1:23" x14ac:dyDescent="0.25">
      <c r="Q15" s="1"/>
    </row>
    <row r="16" spans="1:23" x14ac:dyDescent="0.25">
      <c r="A16">
        <v>20</v>
      </c>
      <c r="B16" t="s">
        <v>5</v>
      </c>
      <c r="C16">
        <v>100</v>
      </c>
      <c r="D16">
        <v>170</v>
      </c>
      <c r="E16">
        <v>255</v>
      </c>
      <c r="F16">
        <v>300</v>
      </c>
      <c r="G16">
        <v>385</v>
      </c>
      <c r="J16" s="1"/>
      <c r="Q16" s="1">
        <v>300</v>
      </c>
      <c r="R16">
        <v>300</v>
      </c>
      <c r="S16">
        <v>380</v>
      </c>
      <c r="T16">
        <v>480</v>
      </c>
      <c r="U16">
        <v>590</v>
      </c>
    </row>
    <row r="17" spans="1:28" x14ac:dyDescent="0.25">
      <c r="B17" t="s">
        <v>6</v>
      </c>
      <c r="C17">
        <v>100</v>
      </c>
      <c r="D17">
        <v>215</v>
      </c>
      <c r="E17">
        <v>315</v>
      </c>
      <c r="F17">
        <v>385</v>
      </c>
      <c r="G17">
        <v>460</v>
      </c>
      <c r="Q17" s="1"/>
    </row>
    <row r="18" spans="1:28" x14ac:dyDescent="0.25">
      <c r="Q18" s="1"/>
    </row>
    <row r="19" spans="1:28" x14ac:dyDescent="0.25">
      <c r="A19">
        <v>30</v>
      </c>
      <c r="B19" t="s">
        <v>5</v>
      </c>
      <c r="C19">
        <v>100</v>
      </c>
      <c r="D19">
        <v>215</v>
      </c>
      <c r="E19">
        <v>170</v>
      </c>
      <c r="F19">
        <v>215</v>
      </c>
      <c r="G19">
        <v>280</v>
      </c>
      <c r="K19" s="1"/>
      <c r="L19" s="1"/>
      <c r="M19" s="1"/>
      <c r="N19" s="2"/>
      <c r="O19" s="2"/>
      <c r="Q19" s="1">
        <v>300</v>
      </c>
      <c r="R19">
        <v>190</v>
      </c>
      <c r="S19">
        <v>270</v>
      </c>
      <c r="T19">
        <v>335</v>
      </c>
      <c r="U19">
        <v>430</v>
      </c>
    </row>
    <row r="20" spans="1:28" x14ac:dyDescent="0.25">
      <c r="B20" t="s">
        <v>6</v>
      </c>
      <c r="C20">
        <v>100</v>
      </c>
      <c r="D20">
        <v>260</v>
      </c>
      <c r="E20">
        <v>215</v>
      </c>
      <c r="F20">
        <v>275</v>
      </c>
      <c r="G20">
        <v>340</v>
      </c>
      <c r="Q20" s="1"/>
    </row>
    <row r="21" spans="1:28" x14ac:dyDescent="0.25">
      <c r="Q21" s="1"/>
    </row>
    <row r="22" spans="1:28" x14ac:dyDescent="0.25">
      <c r="A22">
        <v>40</v>
      </c>
      <c r="B22" t="s">
        <v>5</v>
      </c>
      <c r="C22">
        <v>100</v>
      </c>
      <c r="D22">
        <v>100</v>
      </c>
      <c r="E22">
        <v>130</v>
      </c>
      <c r="F22">
        <v>165</v>
      </c>
      <c r="G22">
        <v>220</v>
      </c>
      <c r="N22" s="1"/>
      <c r="Q22" s="1">
        <v>300</v>
      </c>
      <c r="R22">
        <v>140</v>
      </c>
      <c r="S22">
        <v>220</v>
      </c>
      <c r="T22">
        <v>270</v>
      </c>
      <c r="U22">
        <v>330</v>
      </c>
    </row>
    <row r="23" spans="1:28" x14ac:dyDescent="0.25">
      <c r="B23" t="s">
        <v>6</v>
      </c>
      <c r="C23">
        <v>100</v>
      </c>
      <c r="D23">
        <v>100</v>
      </c>
      <c r="E23">
        <v>165</v>
      </c>
      <c r="F23">
        <v>205</v>
      </c>
      <c r="G23">
        <v>265</v>
      </c>
      <c r="Q23" s="1"/>
    </row>
    <row r="25" spans="1:28" x14ac:dyDescent="0.25">
      <c r="A25" t="s">
        <v>7</v>
      </c>
      <c r="D25" t="s">
        <v>8</v>
      </c>
      <c r="R25" t="s">
        <v>8</v>
      </c>
    </row>
    <row r="26" spans="1:28" x14ac:dyDescent="0.25">
      <c r="B26" t="s">
        <v>4</v>
      </c>
      <c r="C26">
        <v>45</v>
      </c>
      <c r="D26">
        <v>80</v>
      </c>
      <c r="E26">
        <v>100</v>
      </c>
      <c r="F26">
        <v>120</v>
      </c>
      <c r="G26">
        <v>150</v>
      </c>
      <c r="H26" t="s">
        <v>3</v>
      </c>
      <c r="J26">
        <v>30</v>
      </c>
      <c r="K26">
        <v>45</v>
      </c>
      <c r="L26">
        <v>60</v>
      </c>
      <c r="M26">
        <v>80</v>
      </c>
      <c r="N26">
        <v>120</v>
      </c>
      <c r="O26">
        <v>150</v>
      </c>
      <c r="Q26">
        <v>45</v>
      </c>
      <c r="R26">
        <v>80</v>
      </c>
      <c r="S26">
        <v>100</v>
      </c>
      <c r="T26">
        <v>120</v>
      </c>
      <c r="U26">
        <v>150</v>
      </c>
      <c r="V26" t="s">
        <v>3</v>
      </c>
      <c r="W26">
        <v>30</v>
      </c>
      <c r="X26">
        <v>45</v>
      </c>
      <c r="Y26">
        <v>60</v>
      </c>
      <c r="Z26">
        <v>80</v>
      </c>
      <c r="AA26">
        <v>120</v>
      </c>
      <c r="AB26">
        <v>150</v>
      </c>
    </row>
    <row r="27" spans="1:28" x14ac:dyDescent="0.25">
      <c r="A27" t="s">
        <v>1</v>
      </c>
    </row>
    <row r="28" spans="1:28" x14ac:dyDescent="0.25">
      <c r="A28">
        <v>5</v>
      </c>
      <c r="B28" t="s">
        <v>5</v>
      </c>
      <c r="C28">
        <v>275</v>
      </c>
      <c r="D28">
        <v>495</v>
      </c>
      <c r="E28">
        <v>815</v>
      </c>
      <c r="F28">
        <v>880</v>
      </c>
      <c r="G28">
        <v>975</v>
      </c>
      <c r="J28">
        <v>600</v>
      </c>
      <c r="K28">
        <v>680</v>
      </c>
      <c r="L28">
        <v>800</v>
      </c>
      <c r="M28">
        <v>900</v>
      </c>
      <c r="N28">
        <v>950</v>
      </c>
      <c r="O28">
        <v>1000</v>
      </c>
      <c r="Q28" s="1">
        <v>500</v>
      </c>
      <c r="R28">
        <v>820</v>
      </c>
      <c r="S28">
        <v>1200</v>
      </c>
      <c r="T28">
        <v>1430</v>
      </c>
      <c r="U28">
        <v>1750</v>
      </c>
      <c r="W28">
        <v>900</v>
      </c>
      <c r="X28">
        <v>1000</v>
      </c>
      <c r="Y28">
        <v>1110</v>
      </c>
      <c r="Z28">
        <v>1200</v>
      </c>
      <c r="AA28">
        <v>1300</v>
      </c>
      <c r="AB28">
        <v>1400</v>
      </c>
    </row>
    <row r="29" spans="1:28" x14ac:dyDescent="0.25">
      <c r="B29" t="s">
        <v>6</v>
      </c>
      <c r="C29">
        <v>275</v>
      </c>
      <c r="D29">
        <v>605</v>
      </c>
      <c r="E29">
        <v>1065</v>
      </c>
      <c r="F29">
        <v>1085</v>
      </c>
      <c r="G29">
        <v>1295</v>
      </c>
      <c r="Q29" s="1"/>
    </row>
    <row r="30" spans="1:28" x14ac:dyDescent="0.25">
      <c r="Q30" s="1"/>
    </row>
    <row r="31" spans="1:28" x14ac:dyDescent="0.25">
      <c r="A31">
        <v>10</v>
      </c>
      <c r="B31" t="s">
        <v>5</v>
      </c>
      <c r="C31">
        <v>275</v>
      </c>
      <c r="D31">
        <v>375</v>
      </c>
      <c r="E31">
        <v>545</v>
      </c>
      <c r="F31">
        <v>645</v>
      </c>
      <c r="G31">
        <v>760</v>
      </c>
      <c r="J31">
        <v>350</v>
      </c>
      <c r="K31">
        <v>480</v>
      </c>
      <c r="L31">
        <v>560</v>
      </c>
      <c r="M31">
        <v>600</v>
      </c>
      <c r="N31">
        <v>700</v>
      </c>
      <c r="O31">
        <v>770</v>
      </c>
      <c r="Q31" s="1">
        <v>500</v>
      </c>
      <c r="R31">
        <v>620</v>
      </c>
      <c r="S31">
        <v>880</v>
      </c>
      <c r="T31">
        <v>1050</v>
      </c>
      <c r="U31">
        <v>1300</v>
      </c>
      <c r="W31">
        <v>600</v>
      </c>
      <c r="X31">
        <v>700</v>
      </c>
      <c r="Y31">
        <v>800</v>
      </c>
      <c r="Z31">
        <v>900</v>
      </c>
      <c r="AA31">
        <v>1000</v>
      </c>
      <c r="AB31">
        <v>1100</v>
      </c>
    </row>
    <row r="32" spans="1:28" x14ac:dyDescent="0.25">
      <c r="B32" t="s">
        <v>6</v>
      </c>
      <c r="C32">
        <v>275</v>
      </c>
      <c r="D32">
        <v>455</v>
      </c>
      <c r="E32">
        <v>755</v>
      </c>
      <c r="F32">
        <v>790</v>
      </c>
      <c r="G32">
        <v>1005</v>
      </c>
      <c r="Q32" s="1"/>
    </row>
    <row r="33" spans="1:28" x14ac:dyDescent="0.25">
      <c r="Q33" s="1"/>
    </row>
    <row r="34" spans="1:28" x14ac:dyDescent="0.25">
      <c r="A34">
        <v>15</v>
      </c>
      <c r="B34" t="s">
        <v>5</v>
      </c>
      <c r="C34">
        <v>275</v>
      </c>
      <c r="D34">
        <v>270</v>
      </c>
      <c r="E34">
        <v>385</v>
      </c>
      <c r="F34">
        <v>475</v>
      </c>
      <c r="G34">
        <v>575</v>
      </c>
      <c r="J34">
        <v>200</v>
      </c>
      <c r="K34">
        <v>320</v>
      </c>
      <c r="L34">
        <v>400</v>
      </c>
      <c r="M34">
        <v>480</v>
      </c>
      <c r="N34">
        <v>580</v>
      </c>
      <c r="O34">
        <v>650</v>
      </c>
      <c r="Q34" s="1">
        <v>500</v>
      </c>
      <c r="R34">
        <v>460</v>
      </c>
      <c r="S34">
        <v>620</v>
      </c>
      <c r="T34">
        <v>760</v>
      </c>
      <c r="U34">
        <v>920</v>
      </c>
      <c r="W34">
        <v>400</v>
      </c>
      <c r="X34">
        <v>500</v>
      </c>
      <c r="Y34">
        <v>600</v>
      </c>
      <c r="Z34">
        <v>700</v>
      </c>
      <c r="AA34">
        <v>800</v>
      </c>
      <c r="AB34">
        <v>900</v>
      </c>
    </row>
    <row r="35" spans="1:28" x14ac:dyDescent="0.25">
      <c r="B35" t="s">
        <v>6</v>
      </c>
      <c r="C35">
        <v>275</v>
      </c>
      <c r="D35">
        <v>335</v>
      </c>
      <c r="E35">
        <v>535</v>
      </c>
      <c r="F35">
        <v>575</v>
      </c>
      <c r="G35">
        <v>765</v>
      </c>
      <c r="Q35" s="1"/>
    </row>
    <row r="36" spans="1:28" x14ac:dyDescent="0.25">
      <c r="Q36" s="1"/>
    </row>
    <row r="37" spans="1:28" x14ac:dyDescent="0.25">
      <c r="A37">
        <v>20</v>
      </c>
      <c r="B37" t="s">
        <v>5</v>
      </c>
      <c r="C37">
        <v>100</v>
      </c>
      <c r="D37">
        <v>215</v>
      </c>
      <c r="E37">
        <v>315</v>
      </c>
      <c r="F37">
        <v>385</v>
      </c>
      <c r="G37">
        <v>460</v>
      </c>
      <c r="J37" s="1">
        <v>200</v>
      </c>
      <c r="K37">
        <v>200</v>
      </c>
      <c r="L37">
        <v>300</v>
      </c>
      <c r="M37">
        <v>240</v>
      </c>
      <c r="N37">
        <v>480</v>
      </c>
      <c r="O37">
        <v>560</v>
      </c>
      <c r="Q37" s="1">
        <v>300</v>
      </c>
      <c r="R37">
        <v>350</v>
      </c>
      <c r="S37">
        <v>470</v>
      </c>
      <c r="T37">
        <v>590</v>
      </c>
      <c r="U37">
        <v>710</v>
      </c>
      <c r="W37">
        <v>250</v>
      </c>
      <c r="X37">
        <v>375</v>
      </c>
      <c r="Y37">
        <v>500</v>
      </c>
      <c r="Z37">
        <v>600</v>
      </c>
      <c r="AA37">
        <v>680</v>
      </c>
      <c r="AB37">
        <v>780</v>
      </c>
    </row>
    <row r="38" spans="1:28" x14ac:dyDescent="0.25">
      <c r="B38" t="s">
        <v>6</v>
      </c>
      <c r="C38">
        <v>135</v>
      </c>
      <c r="D38">
        <v>260</v>
      </c>
      <c r="E38">
        <v>400</v>
      </c>
      <c r="F38">
        <v>465</v>
      </c>
      <c r="G38">
        <v>620</v>
      </c>
      <c r="Q38" s="1"/>
    </row>
    <row r="39" spans="1:28" x14ac:dyDescent="0.25">
      <c r="Q39" s="1"/>
    </row>
    <row r="40" spans="1:28" x14ac:dyDescent="0.25">
      <c r="A40">
        <v>30</v>
      </c>
      <c r="B40" t="s">
        <v>5</v>
      </c>
      <c r="C40">
        <v>100</v>
      </c>
      <c r="D40">
        <v>145</v>
      </c>
      <c r="E40">
        <v>215</v>
      </c>
      <c r="F40">
        <v>275</v>
      </c>
      <c r="G40">
        <v>340</v>
      </c>
      <c r="K40" s="1">
        <v>200</v>
      </c>
      <c r="L40" s="1">
        <v>200</v>
      </c>
      <c r="M40" s="1">
        <v>200</v>
      </c>
      <c r="N40" s="2">
        <v>330</v>
      </c>
      <c r="O40" s="2">
        <v>500</v>
      </c>
      <c r="Q40" s="1">
        <v>300</v>
      </c>
      <c r="R40">
        <v>235</v>
      </c>
      <c r="S40">
        <v>335</v>
      </c>
      <c r="T40">
        <v>420</v>
      </c>
      <c r="U40">
        <v>510</v>
      </c>
      <c r="W40">
        <v>0</v>
      </c>
      <c r="X40">
        <v>200</v>
      </c>
      <c r="Y40">
        <v>300</v>
      </c>
      <c r="Z40">
        <v>400</v>
      </c>
      <c r="AA40">
        <v>490</v>
      </c>
      <c r="AB40">
        <v>580</v>
      </c>
    </row>
    <row r="41" spans="1:28" x14ac:dyDescent="0.25">
      <c r="B41" t="s">
        <v>6</v>
      </c>
      <c r="C41">
        <v>100</v>
      </c>
      <c r="D41">
        <v>175</v>
      </c>
      <c r="E41">
        <v>295</v>
      </c>
      <c r="F41">
        <v>330</v>
      </c>
      <c r="G41">
        <v>450</v>
      </c>
      <c r="Q41" s="1"/>
    </row>
    <row r="42" spans="1:28" x14ac:dyDescent="0.25">
      <c r="Q42" s="1"/>
    </row>
    <row r="43" spans="1:28" x14ac:dyDescent="0.25">
      <c r="A43">
        <v>40</v>
      </c>
      <c r="B43" t="s">
        <v>5</v>
      </c>
      <c r="C43">
        <v>100</v>
      </c>
      <c r="D43">
        <v>100</v>
      </c>
      <c r="E43">
        <v>165</v>
      </c>
      <c r="F43">
        <v>205</v>
      </c>
      <c r="G43">
        <v>265</v>
      </c>
      <c r="N43" s="1">
        <v>200</v>
      </c>
      <c r="O43">
        <v>420</v>
      </c>
      <c r="Q43" s="1">
        <v>300</v>
      </c>
      <c r="R43">
        <v>140</v>
      </c>
      <c r="S43">
        <v>260</v>
      </c>
      <c r="T43">
        <v>320</v>
      </c>
      <c r="U43">
        <v>390</v>
      </c>
      <c r="X43">
        <v>50</v>
      </c>
      <c r="Y43">
        <v>150</v>
      </c>
      <c r="Z43">
        <v>250</v>
      </c>
      <c r="AA43">
        <v>360</v>
      </c>
      <c r="AB43">
        <v>460</v>
      </c>
    </row>
    <row r="44" spans="1:28" x14ac:dyDescent="0.25">
      <c r="B44" t="s">
        <v>6</v>
      </c>
      <c r="C44">
        <v>100</v>
      </c>
      <c r="D44">
        <v>115</v>
      </c>
      <c r="E44">
        <v>225</v>
      </c>
      <c r="F44">
        <v>250</v>
      </c>
      <c r="G44">
        <v>345</v>
      </c>
      <c r="Q44" s="1"/>
    </row>
  </sheetData>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34"/>
  <sheetViews>
    <sheetView tabSelected="1" topLeftCell="A85" zoomScaleNormal="100" workbookViewId="0">
      <selection activeCell="I118" sqref="I118"/>
    </sheetView>
  </sheetViews>
  <sheetFormatPr defaultRowHeight="15" x14ac:dyDescent="0.25"/>
  <cols>
    <col min="2" max="2" width="6.28515625" bestFit="1" customWidth="1"/>
    <col min="3" max="3" width="12" customWidth="1"/>
    <col min="10" max="10" width="5.140625" bestFit="1" customWidth="1"/>
    <col min="11" max="12" width="1.5703125" customWidth="1"/>
    <col min="13" max="13" width="8.7109375" customWidth="1"/>
    <col min="21" max="21" width="10.42578125" bestFit="1" customWidth="1"/>
  </cols>
  <sheetData>
    <row r="1" spans="1:20" x14ac:dyDescent="0.25">
      <c r="A1" t="s">
        <v>17</v>
      </c>
    </row>
    <row r="2" spans="1:20" x14ac:dyDescent="0.25">
      <c r="A2" t="s">
        <v>18</v>
      </c>
      <c r="H2" t="s">
        <v>12</v>
      </c>
    </row>
    <row r="3" spans="1:20" x14ac:dyDescent="0.25">
      <c r="F3" t="s">
        <v>10</v>
      </c>
      <c r="P3" t="s">
        <v>11</v>
      </c>
    </row>
    <row r="4" spans="1:20" x14ac:dyDescent="0.25">
      <c r="A4" t="s">
        <v>2</v>
      </c>
      <c r="F4" t="s">
        <v>15</v>
      </c>
      <c r="P4" t="s">
        <v>15</v>
      </c>
    </row>
    <row r="5" spans="1:20" x14ac:dyDescent="0.25">
      <c r="B5" t="s">
        <v>4</v>
      </c>
      <c r="C5">
        <v>30</v>
      </c>
      <c r="D5">
        <v>45</v>
      </c>
      <c r="E5">
        <v>60</v>
      </c>
      <c r="F5">
        <v>80</v>
      </c>
      <c r="G5">
        <v>100</v>
      </c>
      <c r="H5">
        <v>120</v>
      </c>
      <c r="I5">
        <v>150</v>
      </c>
      <c r="J5" t="s">
        <v>3</v>
      </c>
      <c r="N5">
        <v>45</v>
      </c>
      <c r="P5">
        <v>80</v>
      </c>
      <c r="Q5">
        <v>100</v>
      </c>
      <c r="R5">
        <v>120</v>
      </c>
      <c r="S5">
        <v>150</v>
      </c>
      <c r="T5" t="s">
        <v>3</v>
      </c>
    </row>
    <row r="6" spans="1:20" x14ac:dyDescent="0.25">
      <c r="A6" t="s">
        <v>1</v>
      </c>
    </row>
    <row r="7" spans="1:20" x14ac:dyDescent="0.25">
      <c r="A7">
        <v>2</v>
      </c>
      <c r="B7" t="s">
        <v>5</v>
      </c>
      <c r="N7" s="1">
        <v>500</v>
      </c>
      <c r="O7" s="1"/>
      <c r="P7">
        <v>630</v>
      </c>
      <c r="Q7">
        <v>900</v>
      </c>
      <c r="R7">
        <v>1150</v>
      </c>
      <c r="S7">
        <v>1400</v>
      </c>
    </row>
    <row r="8" spans="1:20" x14ac:dyDescent="0.25">
      <c r="B8" t="s">
        <v>6</v>
      </c>
      <c r="N8" s="1"/>
      <c r="O8" s="1"/>
    </row>
    <row r="9" spans="1:20" x14ac:dyDescent="0.25">
      <c r="N9" s="1"/>
      <c r="O9" s="1"/>
    </row>
    <row r="10" spans="1:20" x14ac:dyDescent="0.25">
      <c r="A10">
        <v>5</v>
      </c>
      <c r="B10" t="s">
        <v>5</v>
      </c>
      <c r="D10">
        <v>275</v>
      </c>
      <c r="F10">
        <v>385</v>
      </c>
      <c r="G10">
        <v>645</v>
      </c>
      <c r="H10">
        <v>710</v>
      </c>
      <c r="I10">
        <v>825</v>
      </c>
      <c r="N10" s="1">
        <v>500</v>
      </c>
      <c r="O10" s="1"/>
      <c r="P10">
        <v>630</v>
      </c>
      <c r="Q10">
        <v>900</v>
      </c>
      <c r="R10">
        <v>1150</v>
      </c>
      <c r="S10">
        <v>1400</v>
      </c>
    </row>
    <row r="11" spans="1:20" x14ac:dyDescent="0.25">
      <c r="B11" t="s">
        <v>6</v>
      </c>
      <c r="D11">
        <v>275</v>
      </c>
      <c r="F11">
        <v>495</v>
      </c>
      <c r="G11">
        <v>815</v>
      </c>
      <c r="H11">
        <v>880</v>
      </c>
      <c r="I11">
        <v>975</v>
      </c>
      <c r="N11" s="1"/>
      <c r="O11" s="1"/>
    </row>
    <row r="12" spans="1:20" x14ac:dyDescent="0.25">
      <c r="N12" s="1"/>
      <c r="O12" s="1"/>
    </row>
    <row r="13" spans="1:20" x14ac:dyDescent="0.25">
      <c r="A13">
        <v>10</v>
      </c>
      <c r="B13" t="s">
        <v>5</v>
      </c>
      <c r="D13">
        <v>275</v>
      </c>
      <c r="F13">
        <v>285</v>
      </c>
      <c r="G13">
        <v>410</v>
      </c>
      <c r="H13">
        <v>495</v>
      </c>
      <c r="I13">
        <v>630</v>
      </c>
      <c r="N13" s="1">
        <v>500</v>
      </c>
      <c r="O13" s="1"/>
      <c r="P13">
        <v>500</v>
      </c>
      <c r="Q13">
        <v>680</v>
      </c>
      <c r="R13">
        <v>800</v>
      </c>
      <c r="S13">
        <v>1010</v>
      </c>
    </row>
    <row r="14" spans="1:20" x14ac:dyDescent="0.25">
      <c r="B14" t="s">
        <v>6</v>
      </c>
      <c r="D14">
        <v>275</v>
      </c>
      <c r="F14">
        <v>375</v>
      </c>
      <c r="G14">
        <v>545</v>
      </c>
      <c r="H14">
        <v>645</v>
      </c>
      <c r="I14">
        <v>760</v>
      </c>
      <c r="N14" s="1"/>
      <c r="O14" s="1"/>
    </row>
    <row r="15" spans="1:20" x14ac:dyDescent="0.25">
      <c r="N15" s="1"/>
      <c r="O15" s="1"/>
    </row>
    <row r="16" spans="1:20" x14ac:dyDescent="0.25">
      <c r="A16">
        <v>15</v>
      </c>
      <c r="B16" t="s">
        <v>5</v>
      </c>
      <c r="D16">
        <v>275</v>
      </c>
      <c r="F16">
        <v>215</v>
      </c>
      <c r="G16">
        <v>305</v>
      </c>
      <c r="H16">
        <v>375</v>
      </c>
      <c r="I16">
        <v>475</v>
      </c>
      <c r="N16" s="1">
        <v>500</v>
      </c>
      <c r="O16" s="1"/>
      <c r="P16">
        <v>350</v>
      </c>
      <c r="Q16">
        <v>490</v>
      </c>
      <c r="R16">
        <v>600</v>
      </c>
      <c r="S16">
        <v>760</v>
      </c>
    </row>
    <row r="17" spans="1:22" x14ac:dyDescent="0.25">
      <c r="B17" t="s">
        <v>6</v>
      </c>
      <c r="D17">
        <v>275</v>
      </c>
      <c r="F17">
        <v>270</v>
      </c>
      <c r="G17">
        <v>385</v>
      </c>
      <c r="H17">
        <v>475</v>
      </c>
      <c r="I17">
        <v>575</v>
      </c>
      <c r="N17" s="1"/>
      <c r="O17" s="1"/>
    </row>
    <row r="18" spans="1:22" x14ac:dyDescent="0.25">
      <c r="N18" s="1"/>
      <c r="O18" s="1"/>
    </row>
    <row r="19" spans="1:22" x14ac:dyDescent="0.25">
      <c r="A19">
        <v>20</v>
      </c>
      <c r="B19" t="s">
        <v>5</v>
      </c>
      <c r="D19">
        <v>100</v>
      </c>
      <c r="F19">
        <v>170</v>
      </c>
      <c r="G19">
        <v>255</v>
      </c>
      <c r="H19">
        <v>300</v>
      </c>
      <c r="I19">
        <v>385</v>
      </c>
      <c r="N19" s="1">
        <v>300</v>
      </c>
      <c r="O19" s="1"/>
      <c r="P19">
        <v>300</v>
      </c>
      <c r="Q19">
        <v>380</v>
      </c>
      <c r="R19">
        <v>480</v>
      </c>
      <c r="S19">
        <v>590</v>
      </c>
    </row>
    <row r="20" spans="1:22" x14ac:dyDescent="0.25">
      <c r="B20" t="s">
        <v>6</v>
      </c>
      <c r="D20">
        <v>100</v>
      </c>
      <c r="F20">
        <v>215</v>
      </c>
      <c r="G20">
        <v>315</v>
      </c>
      <c r="H20">
        <v>385</v>
      </c>
      <c r="I20">
        <v>460</v>
      </c>
      <c r="N20" s="1"/>
      <c r="O20" s="1"/>
    </row>
    <row r="21" spans="1:22" x14ac:dyDescent="0.25">
      <c r="N21" s="1"/>
      <c r="O21" s="1"/>
    </row>
    <row r="22" spans="1:22" x14ac:dyDescent="0.25">
      <c r="A22">
        <v>30</v>
      </c>
      <c r="B22" t="s">
        <v>5</v>
      </c>
      <c r="D22">
        <v>100</v>
      </c>
      <c r="F22">
        <v>215</v>
      </c>
      <c r="G22">
        <v>170</v>
      </c>
      <c r="H22">
        <v>215</v>
      </c>
      <c r="I22">
        <v>280</v>
      </c>
      <c r="N22" s="1">
        <v>300</v>
      </c>
      <c r="O22" s="1"/>
      <c r="P22">
        <v>190</v>
      </c>
      <c r="Q22">
        <v>270</v>
      </c>
      <c r="R22">
        <v>335</v>
      </c>
      <c r="S22">
        <v>430</v>
      </c>
    </row>
    <row r="23" spans="1:22" x14ac:dyDescent="0.25">
      <c r="B23" t="s">
        <v>6</v>
      </c>
      <c r="D23">
        <v>100</v>
      </c>
      <c r="F23">
        <v>260</v>
      </c>
      <c r="G23">
        <v>215</v>
      </c>
      <c r="H23">
        <v>275</v>
      </c>
      <c r="I23">
        <v>340</v>
      </c>
      <c r="N23" s="1"/>
      <c r="O23" s="1"/>
    </row>
    <row r="24" spans="1:22" x14ac:dyDescent="0.25">
      <c r="N24" s="1"/>
      <c r="O24" s="1"/>
    </row>
    <row r="25" spans="1:22" x14ac:dyDescent="0.25">
      <c r="A25">
        <v>40</v>
      </c>
      <c r="B25" t="s">
        <v>5</v>
      </c>
      <c r="D25">
        <v>100</v>
      </c>
      <c r="F25">
        <v>100</v>
      </c>
      <c r="G25">
        <v>130</v>
      </c>
      <c r="H25">
        <v>165</v>
      </c>
      <c r="I25">
        <v>220</v>
      </c>
      <c r="N25" s="1">
        <v>300</v>
      </c>
      <c r="O25" s="1"/>
      <c r="P25">
        <v>140</v>
      </c>
      <c r="Q25">
        <v>220</v>
      </c>
      <c r="R25">
        <v>270</v>
      </c>
      <c r="S25">
        <v>330</v>
      </c>
    </row>
    <row r="26" spans="1:22" x14ac:dyDescent="0.25">
      <c r="B26" t="s">
        <v>6</v>
      </c>
      <c r="D26">
        <v>100</v>
      </c>
      <c r="F26">
        <v>100</v>
      </c>
      <c r="G26">
        <v>165</v>
      </c>
      <c r="H26">
        <v>205</v>
      </c>
      <c r="I26">
        <v>265</v>
      </c>
      <c r="N26" s="1"/>
      <c r="O26" s="1"/>
    </row>
    <row r="27" spans="1:22" s="5" customFormat="1" x14ac:dyDescent="0.25">
      <c r="A27" s="5" t="s">
        <v>103</v>
      </c>
    </row>
    <row r="28" spans="1:22" x14ac:dyDescent="0.25">
      <c r="F28" s="5" t="s">
        <v>10</v>
      </c>
      <c r="P28" s="5" t="s">
        <v>11</v>
      </c>
    </row>
    <row r="29" spans="1:22" x14ac:dyDescent="0.25">
      <c r="A29" s="19" t="s">
        <v>7</v>
      </c>
      <c r="B29" s="19"/>
      <c r="C29" s="19"/>
      <c r="D29" s="19"/>
      <c r="E29" s="19"/>
      <c r="F29" s="19" t="s">
        <v>8</v>
      </c>
      <c r="G29" s="19"/>
      <c r="H29" s="19"/>
      <c r="I29" s="19"/>
      <c r="J29" s="19"/>
      <c r="K29" s="24"/>
      <c r="L29" s="25"/>
      <c r="M29" s="19"/>
      <c r="N29" s="19"/>
      <c r="O29" s="19"/>
      <c r="P29" s="19" t="s">
        <v>8</v>
      </c>
      <c r="Q29" s="19"/>
      <c r="R29" s="19"/>
      <c r="S29" s="19"/>
      <c r="T29" s="19"/>
      <c r="U29" s="19"/>
      <c r="V29" s="19"/>
    </row>
    <row r="30" spans="1:22" s="5" customFormat="1" x14ac:dyDescent="0.25">
      <c r="A30" s="21"/>
      <c r="B30" s="21" t="s">
        <v>4</v>
      </c>
      <c r="C30" s="21">
        <v>30</v>
      </c>
      <c r="D30" s="21">
        <v>45</v>
      </c>
      <c r="E30" s="21">
        <v>60</v>
      </c>
      <c r="F30" s="21">
        <v>80</v>
      </c>
      <c r="G30" s="21">
        <v>100</v>
      </c>
      <c r="H30" s="21">
        <v>120</v>
      </c>
      <c r="I30" s="21">
        <v>150</v>
      </c>
      <c r="J30" s="21" t="s">
        <v>3</v>
      </c>
      <c r="K30" s="26"/>
      <c r="L30" s="27"/>
      <c r="M30" s="21">
        <v>30</v>
      </c>
      <c r="N30" s="21">
        <v>45</v>
      </c>
      <c r="O30" s="21">
        <v>60</v>
      </c>
      <c r="P30" s="21">
        <v>80</v>
      </c>
      <c r="Q30" s="21">
        <v>100</v>
      </c>
      <c r="R30" s="21">
        <v>120</v>
      </c>
      <c r="S30" s="21">
        <v>150</v>
      </c>
      <c r="T30" s="21" t="s">
        <v>3</v>
      </c>
      <c r="U30" s="21"/>
      <c r="V30" s="21"/>
    </row>
    <row r="31" spans="1:22" x14ac:dyDescent="0.25">
      <c r="A31" s="19" t="s">
        <v>1</v>
      </c>
      <c r="B31" s="19"/>
      <c r="C31" s="19"/>
      <c r="D31" s="19"/>
      <c r="E31" s="19"/>
      <c r="F31" s="19"/>
      <c r="G31" s="19"/>
      <c r="H31" s="19"/>
      <c r="I31" s="19"/>
      <c r="J31" s="19"/>
      <c r="K31" s="24"/>
      <c r="L31" s="25"/>
      <c r="M31" s="19"/>
      <c r="N31" s="19"/>
      <c r="O31" s="19"/>
      <c r="P31" s="19"/>
      <c r="Q31" s="19"/>
      <c r="R31" s="19"/>
      <c r="S31" s="19"/>
      <c r="T31" s="19"/>
      <c r="U31" s="19"/>
      <c r="V31" s="19"/>
    </row>
    <row r="32" spans="1:22" x14ac:dyDescent="0.25">
      <c r="A32" s="21">
        <v>2</v>
      </c>
      <c r="B32" s="19" t="s">
        <v>5</v>
      </c>
      <c r="C32" s="19">
        <v>600</v>
      </c>
      <c r="D32" s="19">
        <v>650</v>
      </c>
      <c r="E32" s="19">
        <v>700</v>
      </c>
      <c r="F32" s="19">
        <v>800</v>
      </c>
      <c r="G32" s="19">
        <v>900</v>
      </c>
      <c r="H32" s="19">
        <v>1050</v>
      </c>
      <c r="I32" s="19">
        <v>1200</v>
      </c>
      <c r="J32" s="19"/>
      <c r="K32" s="24"/>
      <c r="L32" s="25"/>
      <c r="M32" s="19">
        <v>900</v>
      </c>
      <c r="N32" s="20">
        <v>1000</v>
      </c>
      <c r="O32" s="20">
        <v>1100</v>
      </c>
      <c r="P32" s="19">
        <v>1200</v>
      </c>
      <c r="Q32" s="19">
        <v>1350</v>
      </c>
      <c r="R32" s="19">
        <v>1500</v>
      </c>
      <c r="S32" s="19">
        <v>1700</v>
      </c>
      <c r="T32" s="19"/>
      <c r="U32" s="19"/>
      <c r="V32" s="19"/>
    </row>
    <row r="33" spans="1:22" x14ac:dyDescent="0.25">
      <c r="A33" s="21"/>
      <c r="B33" s="19"/>
      <c r="C33" s="19"/>
      <c r="D33" s="19"/>
      <c r="E33" s="19"/>
      <c r="F33" s="19"/>
      <c r="G33" s="19"/>
      <c r="H33" s="19"/>
      <c r="I33" s="19"/>
      <c r="J33" s="19"/>
      <c r="K33" s="24"/>
      <c r="L33" s="25"/>
      <c r="M33" s="19">
        <f>+M32*0.65</f>
        <v>585</v>
      </c>
      <c r="N33" s="19">
        <f>+N32*0.65</f>
        <v>650</v>
      </c>
      <c r="O33" s="19">
        <f>+O32*0.65</f>
        <v>715</v>
      </c>
      <c r="P33" s="19">
        <f>+P32*0.65</f>
        <v>780</v>
      </c>
      <c r="Q33" s="19">
        <f>+Q32*0.65</f>
        <v>877.5</v>
      </c>
      <c r="R33" s="19">
        <f t="shared" ref="R33" si="0">+R32*0.7</f>
        <v>1050</v>
      </c>
      <c r="S33" s="19">
        <f>+S32*0.7</f>
        <v>1190</v>
      </c>
      <c r="T33" s="19" t="s">
        <v>87</v>
      </c>
      <c r="U33" s="19"/>
      <c r="V33" s="19"/>
    </row>
    <row r="34" spans="1:22" x14ac:dyDescent="0.25">
      <c r="A34" s="21"/>
      <c r="B34" s="19"/>
      <c r="C34" s="19"/>
      <c r="D34" s="19"/>
      <c r="E34" s="19"/>
      <c r="F34" s="19"/>
      <c r="G34" s="19"/>
      <c r="H34" s="19"/>
      <c r="I34" s="19"/>
      <c r="J34" s="19"/>
      <c r="K34" s="24"/>
      <c r="L34" s="25"/>
      <c r="M34" s="19"/>
      <c r="N34" s="20"/>
      <c r="O34" s="20"/>
      <c r="P34" s="19"/>
      <c r="Q34" s="19"/>
      <c r="R34" s="19"/>
      <c r="S34" s="19"/>
      <c r="T34" s="19"/>
      <c r="U34" s="19"/>
      <c r="V34" s="19"/>
    </row>
    <row r="35" spans="1:22" x14ac:dyDescent="0.25">
      <c r="A35" s="21">
        <v>5</v>
      </c>
      <c r="B35" s="19" t="s">
        <v>5</v>
      </c>
      <c r="C35" s="19">
        <v>450</v>
      </c>
      <c r="D35" s="19">
        <v>540</v>
      </c>
      <c r="E35" s="19">
        <v>600</v>
      </c>
      <c r="F35" s="19">
        <v>700</v>
      </c>
      <c r="G35" s="19">
        <v>800</v>
      </c>
      <c r="H35" s="19">
        <v>900</v>
      </c>
      <c r="I35" s="19">
        <v>1000</v>
      </c>
      <c r="J35" s="19"/>
      <c r="K35" s="24"/>
      <c r="L35" s="25"/>
      <c r="M35" s="19">
        <v>700</v>
      </c>
      <c r="N35" s="20">
        <v>820</v>
      </c>
      <c r="O35" s="20">
        <v>950</v>
      </c>
      <c r="P35" s="19">
        <v>1100</v>
      </c>
      <c r="Q35" s="19">
        <v>1200</v>
      </c>
      <c r="R35" s="19">
        <v>1300</v>
      </c>
      <c r="S35" s="19">
        <v>1400</v>
      </c>
      <c r="T35" s="19"/>
      <c r="U35" s="19"/>
      <c r="V35" s="19"/>
    </row>
    <row r="36" spans="1:22" x14ac:dyDescent="0.25">
      <c r="A36" s="21"/>
      <c r="B36" s="19"/>
      <c r="C36" s="19"/>
      <c r="D36" s="19"/>
      <c r="E36" s="19"/>
      <c r="F36" s="19"/>
      <c r="G36" s="19"/>
      <c r="H36" s="19"/>
      <c r="I36" s="19"/>
      <c r="J36" s="19"/>
      <c r="K36" s="24"/>
      <c r="L36" s="25"/>
      <c r="M36" s="19">
        <f>+M35*0.65</f>
        <v>455</v>
      </c>
      <c r="N36" s="19">
        <f>+N35*0.65</f>
        <v>533</v>
      </c>
      <c r="O36" s="19">
        <f>+O35*0.65</f>
        <v>617.5</v>
      </c>
      <c r="P36" s="19">
        <f>+P35*0.65</f>
        <v>715</v>
      </c>
      <c r="Q36" s="19">
        <f>+Q35*0.65</f>
        <v>780</v>
      </c>
      <c r="R36" s="19">
        <f t="shared" ref="R36" si="1">+R35*0.7</f>
        <v>909.99999999999989</v>
      </c>
      <c r="S36" s="19">
        <f>+S35*0.7</f>
        <v>979.99999999999989</v>
      </c>
      <c r="T36" s="19" t="s">
        <v>87</v>
      </c>
      <c r="U36" s="19"/>
      <c r="V36" s="19"/>
    </row>
    <row r="37" spans="1:22" x14ac:dyDescent="0.25">
      <c r="A37" s="21"/>
      <c r="B37" s="19"/>
      <c r="C37" s="19"/>
      <c r="D37" s="19"/>
      <c r="E37" s="19"/>
      <c r="F37" s="19"/>
      <c r="G37" s="19"/>
      <c r="H37" s="19"/>
      <c r="I37" s="19"/>
      <c r="J37" s="19"/>
      <c r="K37" s="24"/>
      <c r="L37" s="25"/>
      <c r="M37" s="19"/>
      <c r="N37" s="20"/>
      <c r="O37" s="20"/>
      <c r="P37" s="19"/>
      <c r="Q37" s="19"/>
      <c r="R37" s="19"/>
      <c r="S37" s="19"/>
      <c r="T37" s="19"/>
      <c r="U37" s="19"/>
      <c r="V37" s="19"/>
    </row>
    <row r="38" spans="1:22" x14ac:dyDescent="0.25">
      <c r="A38" s="21">
        <v>10</v>
      </c>
      <c r="B38" s="19" t="s">
        <v>5</v>
      </c>
      <c r="C38" s="19">
        <v>320</v>
      </c>
      <c r="D38" s="19">
        <v>400</v>
      </c>
      <c r="E38" s="19">
        <v>450</v>
      </c>
      <c r="F38" s="19">
        <v>500</v>
      </c>
      <c r="G38" s="19">
        <v>600</v>
      </c>
      <c r="H38" s="19">
        <v>700</v>
      </c>
      <c r="I38" s="19">
        <v>770</v>
      </c>
      <c r="J38" s="19"/>
      <c r="K38" s="24"/>
      <c r="L38" s="25"/>
      <c r="M38" s="19">
        <v>550</v>
      </c>
      <c r="N38" s="20">
        <v>600</v>
      </c>
      <c r="O38" s="20">
        <v>650</v>
      </c>
      <c r="P38" s="19">
        <v>800</v>
      </c>
      <c r="Q38" s="19">
        <v>900</v>
      </c>
      <c r="R38" s="19">
        <v>1000</v>
      </c>
      <c r="S38" s="19">
        <v>1100</v>
      </c>
      <c r="T38" s="19"/>
      <c r="U38" s="19"/>
      <c r="V38" s="19"/>
    </row>
    <row r="39" spans="1:22" x14ac:dyDescent="0.25">
      <c r="A39" s="21"/>
      <c r="B39" s="19"/>
      <c r="C39" s="19"/>
      <c r="D39" s="19"/>
      <c r="E39" s="19"/>
      <c r="F39" s="19"/>
      <c r="G39" s="19"/>
      <c r="H39" s="19"/>
      <c r="I39" s="19"/>
      <c r="J39" s="19"/>
      <c r="K39" s="24"/>
      <c r="L39" s="25"/>
      <c r="M39" s="19">
        <f>+M38*0.65</f>
        <v>357.5</v>
      </c>
      <c r="N39" s="19">
        <f>+N38*0.65</f>
        <v>390</v>
      </c>
      <c r="O39" s="19">
        <f t="shared" ref="O39:S39" si="2">+O38*0.7</f>
        <v>454.99999999999994</v>
      </c>
      <c r="P39" s="19">
        <f t="shared" si="2"/>
        <v>560</v>
      </c>
      <c r="Q39" s="19">
        <f t="shared" si="2"/>
        <v>630</v>
      </c>
      <c r="R39" s="19">
        <f t="shared" si="2"/>
        <v>700</v>
      </c>
      <c r="S39" s="19">
        <f t="shared" si="2"/>
        <v>770</v>
      </c>
      <c r="T39" s="19" t="s">
        <v>87</v>
      </c>
      <c r="U39" s="19"/>
      <c r="V39" s="19"/>
    </row>
    <row r="40" spans="1:22" x14ac:dyDescent="0.25">
      <c r="A40" s="21"/>
      <c r="B40" s="19"/>
      <c r="C40" s="19"/>
      <c r="D40" s="19"/>
      <c r="E40" s="19"/>
      <c r="F40" s="19"/>
      <c r="G40" s="19"/>
      <c r="H40" s="19"/>
      <c r="I40" s="19"/>
      <c r="J40" s="19"/>
      <c r="K40" s="24"/>
      <c r="L40" s="25"/>
      <c r="M40" s="19"/>
      <c r="N40" s="20"/>
      <c r="O40" s="20"/>
      <c r="P40" s="19"/>
      <c r="Q40" s="19"/>
      <c r="R40" s="19"/>
      <c r="S40" s="19"/>
      <c r="T40" s="19"/>
      <c r="U40" s="19"/>
      <c r="V40" s="19"/>
    </row>
    <row r="41" spans="1:22" x14ac:dyDescent="0.25">
      <c r="A41" s="21">
        <v>15</v>
      </c>
      <c r="B41" s="19" t="s">
        <v>5</v>
      </c>
      <c r="C41" s="19">
        <v>250</v>
      </c>
      <c r="D41" s="19">
        <v>330</v>
      </c>
      <c r="E41" s="19">
        <v>400</v>
      </c>
      <c r="F41" s="19">
        <v>450</v>
      </c>
      <c r="G41" s="19">
        <v>500</v>
      </c>
      <c r="H41" s="19">
        <v>580</v>
      </c>
      <c r="I41" s="19">
        <v>650</v>
      </c>
      <c r="J41" s="19"/>
      <c r="K41" s="24"/>
      <c r="L41" s="25"/>
      <c r="M41" s="19">
        <v>380</v>
      </c>
      <c r="N41" s="20">
        <v>450</v>
      </c>
      <c r="O41" s="20">
        <v>500</v>
      </c>
      <c r="P41" s="19">
        <v>600</v>
      </c>
      <c r="Q41" s="19">
        <v>700</v>
      </c>
      <c r="R41" s="19">
        <v>800</v>
      </c>
      <c r="S41" s="19">
        <v>900</v>
      </c>
      <c r="T41" s="19"/>
      <c r="U41" s="19"/>
      <c r="V41" s="19"/>
    </row>
    <row r="42" spans="1:22" x14ac:dyDescent="0.25">
      <c r="A42" s="21"/>
      <c r="B42" s="19"/>
      <c r="C42" s="19"/>
      <c r="D42" s="19"/>
      <c r="E42" s="19"/>
      <c r="F42" s="19"/>
      <c r="G42" s="19"/>
      <c r="H42" s="19"/>
      <c r="I42" s="19"/>
      <c r="J42" s="19"/>
      <c r="K42" s="24"/>
      <c r="L42" s="25"/>
      <c r="M42" s="19">
        <f>+M41*0.65</f>
        <v>247</v>
      </c>
      <c r="N42" s="19">
        <f>+N41*0.65</f>
        <v>292.5</v>
      </c>
      <c r="O42" s="19">
        <f t="shared" ref="O42:S42" si="3">+O41*0.7</f>
        <v>350</v>
      </c>
      <c r="P42" s="19">
        <f t="shared" si="3"/>
        <v>420</v>
      </c>
      <c r="Q42" s="19">
        <f t="shared" si="3"/>
        <v>489.99999999999994</v>
      </c>
      <c r="R42" s="19">
        <f t="shared" si="3"/>
        <v>560</v>
      </c>
      <c r="S42" s="19">
        <f t="shared" si="3"/>
        <v>630</v>
      </c>
      <c r="T42" s="19" t="s">
        <v>87</v>
      </c>
      <c r="U42" s="19"/>
      <c r="V42" s="19"/>
    </row>
    <row r="43" spans="1:22" x14ac:dyDescent="0.25">
      <c r="A43" s="21"/>
      <c r="B43" s="19"/>
      <c r="C43" s="19"/>
      <c r="D43" s="19"/>
      <c r="E43" s="19"/>
      <c r="F43" s="19"/>
      <c r="G43" s="19"/>
      <c r="H43" s="19"/>
      <c r="I43" s="19"/>
      <c r="J43" s="19"/>
      <c r="K43" s="24"/>
      <c r="L43" s="25"/>
      <c r="M43" s="19"/>
      <c r="N43" s="20"/>
      <c r="O43" s="20"/>
      <c r="P43" s="19"/>
      <c r="Q43" s="19"/>
      <c r="R43" s="19"/>
      <c r="S43" s="19"/>
      <c r="T43" s="19"/>
      <c r="U43" s="19"/>
      <c r="V43" s="19"/>
    </row>
    <row r="44" spans="1:22" x14ac:dyDescent="0.25">
      <c r="A44" s="21">
        <v>20</v>
      </c>
      <c r="B44" s="19" t="s">
        <v>5</v>
      </c>
      <c r="C44" s="19">
        <v>200</v>
      </c>
      <c r="D44" s="19">
        <v>250</v>
      </c>
      <c r="E44" s="19">
        <v>280</v>
      </c>
      <c r="F44" s="19">
        <v>340</v>
      </c>
      <c r="G44" s="19">
        <v>410</v>
      </c>
      <c r="H44" s="19">
        <v>440</v>
      </c>
      <c r="I44" s="19">
        <v>530</v>
      </c>
      <c r="J44" s="19"/>
      <c r="K44" s="24"/>
      <c r="L44" s="25"/>
      <c r="M44" s="19">
        <v>290</v>
      </c>
      <c r="N44" s="20">
        <v>350</v>
      </c>
      <c r="O44" s="20">
        <v>380</v>
      </c>
      <c r="P44" s="19">
        <v>480</v>
      </c>
      <c r="Q44" s="19">
        <v>580</v>
      </c>
      <c r="R44" s="19">
        <v>630</v>
      </c>
      <c r="S44" s="19">
        <v>750</v>
      </c>
      <c r="T44" s="19"/>
      <c r="U44" s="19"/>
      <c r="V44" s="19"/>
    </row>
    <row r="45" spans="1:22" x14ac:dyDescent="0.25">
      <c r="A45" s="21"/>
      <c r="B45" s="19"/>
      <c r="C45" s="19"/>
      <c r="D45" s="19"/>
      <c r="E45" s="19"/>
      <c r="F45" s="19"/>
      <c r="G45" s="19"/>
      <c r="H45" s="19"/>
      <c r="I45" s="19"/>
      <c r="J45" s="19"/>
      <c r="K45" s="24"/>
      <c r="L45" s="25"/>
      <c r="M45" s="19">
        <f t="shared" ref="M45:S45" si="4">+M44*0.7</f>
        <v>203</v>
      </c>
      <c r="N45" s="19">
        <f t="shared" si="4"/>
        <v>244.99999999999997</v>
      </c>
      <c r="O45" s="19">
        <f t="shared" si="4"/>
        <v>266</v>
      </c>
      <c r="P45" s="19">
        <f t="shared" si="4"/>
        <v>336</v>
      </c>
      <c r="Q45" s="19">
        <f t="shared" si="4"/>
        <v>406</v>
      </c>
      <c r="R45" s="19">
        <f t="shared" si="4"/>
        <v>441</v>
      </c>
      <c r="S45" s="19">
        <f t="shared" si="4"/>
        <v>525</v>
      </c>
      <c r="T45" s="19" t="s">
        <v>87</v>
      </c>
      <c r="U45" s="19"/>
      <c r="V45" s="19"/>
    </row>
    <row r="46" spans="1:22" x14ac:dyDescent="0.25">
      <c r="A46" s="21"/>
      <c r="B46" s="19"/>
      <c r="C46" s="19"/>
      <c r="D46" s="19"/>
      <c r="E46" s="19"/>
      <c r="F46" s="19"/>
      <c r="G46" s="19"/>
      <c r="H46" s="19"/>
      <c r="I46" s="19"/>
      <c r="J46" s="19"/>
      <c r="K46" s="24"/>
      <c r="L46" s="25"/>
      <c r="M46" s="19"/>
      <c r="N46" s="20"/>
      <c r="O46" s="20"/>
      <c r="P46" s="19"/>
      <c r="Q46" s="19"/>
      <c r="R46" s="19"/>
      <c r="S46" s="19"/>
      <c r="T46" s="19"/>
      <c r="U46" s="19"/>
      <c r="V46" s="19"/>
    </row>
    <row r="47" spans="1:22" x14ac:dyDescent="0.25">
      <c r="A47" s="21">
        <v>30</v>
      </c>
      <c r="B47" s="19" t="s">
        <v>5</v>
      </c>
      <c r="C47" s="19"/>
      <c r="D47" s="19">
        <v>230</v>
      </c>
      <c r="E47" s="19">
        <v>270</v>
      </c>
      <c r="F47" s="19">
        <v>300</v>
      </c>
      <c r="G47" s="19">
        <v>330</v>
      </c>
      <c r="H47" s="19">
        <v>380</v>
      </c>
      <c r="I47" s="19">
        <v>420</v>
      </c>
      <c r="J47" s="19"/>
      <c r="K47" s="24"/>
      <c r="L47" s="25"/>
      <c r="M47" s="19"/>
      <c r="N47" s="20">
        <v>325</v>
      </c>
      <c r="O47" s="20">
        <v>375</v>
      </c>
      <c r="P47" s="19">
        <v>425</v>
      </c>
      <c r="Q47" s="19">
        <v>475</v>
      </c>
      <c r="R47" s="19">
        <v>550</v>
      </c>
      <c r="S47" s="19">
        <v>600</v>
      </c>
      <c r="T47" s="19"/>
      <c r="U47" s="19"/>
      <c r="V47" s="19"/>
    </row>
    <row r="48" spans="1:22" x14ac:dyDescent="0.25">
      <c r="A48" s="21"/>
      <c r="B48" s="19"/>
      <c r="C48" s="19"/>
      <c r="D48" s="19"/>
      <c r="E48" s="19"/>
      <c r="F48" s="19"/>
      <c r="G48" s="19"/>
      <c r="H48" s="19"/>
      <c r="I48" s="19"/>
      <c r="J48" s="19"/>
      <c r="K48" s="24"/>
      <c r="L48" s="25"/>
      <c r="M48" s="19">
        <f t="shared" ref="M48:S48" si="5">+M47*0.7</f>
        <v>0</v>
      </c>
      <c r="N48" s="19">
        <f t="shared" si="5"/>
        <v>227.49999999999997</v>
      </c>
      <c r="O48" s="19">
        <f t="shared" si="5"/>
        <v>262.5</v>
      </c>
      <c r="P48" s="19">
        <f t="shared" si="5"/>
        <v>297.5</v>
      </c>
      <c r="Q48" s="19">
        <f t="shared" si="5"/>
        <v>332.5</v>
      </c>
      <c r="R48" s="19">
        <f t="shared" si="5"/>
        <v>385</v>
      </c>
      <c r="S48" s="19">
        <f t="shared" si="5"/>
        <v>420</v>
      </c>
      <c r="T48" s="19" t="s">
        <v>87</v>
      </c>
      <c r="U48" s="19"/>
      <c r="V48" s="19"/>
    </row>
    <row r="49" spans="1:22" x14ac:dyDescent="0.25">
      <c r="A49" s="21"/>
      <c r="B49" s="19"/>
      <c r="C49" s="19"/>
      <c r="D49" s="19"/>
      <c r="E49" s="19"/>
      <c r="F49" s="19"/>
      <c r="G49" s="19"/>
      <c r="H49" s="19"/>
      <c r="I49" s="19"/>
      <c r="J49" s="19"/>
      <c r="K49" s="24"/>
      <c r="L49" s="25"/>
      <c r="M49" s="19"/>
      <c r="N49" s="20"/>
      <c r="O49" s="20"/>
      <c r="P49" s="19"/>
      <c r="Q49" s="19"/>
      <c r="R49" s="19"/>
      <c r="S49" s="19"/>
      <c r="T49" s="19"/>
      <c r="U49" s="19"/>
      <c r="V49" s="19"/>
    </row>
    <row r="50" spans="1:22" x14ac:dyDescent="0.25">
      <c r="A50" s="21">
        <v>40</v>
      </c>
      <c r="B50" s="19" t="s">
        <v>5</v>
      </c>
      <c r="C50" s="19"/>
      <c r="D50" s="19">
        <v>200</v>
      </c>
      <c r="E50" s="19">
        <v>245</v>
      </c>
      <c r="F50" s="19">
        <v>280</v>
      </c>
      <c r="G50" s="19">
        <v>310</v>
      </c>
      <c r="H50" s="19">
        <v>350</v>
      </c>
      <c r="I50" s="19">
        <v>380</v>
      </c>
      <c r="J50" s="19"/>
      <c r="K50" s="24"/>
      <c r="L50" s="25"/>
      <c r="M50" s="19"/>
      <c r="N50" s="20">
        <v>250</v>
      </c>
      <c r="O50" s="20">
        <v>350</v>
      </c>
      <c r="P50" s="19">
        <v>400</v>
      </c>
      <c r="Q50" s="19">
        <v>450</v>
      </c>
      <c r="R50" s="19">
        <v>500</v>
      </c>
      <c r="S50" s="19">
        <v>550</v>
      </c>
      <c r="T50" s="19"/>
      <c r="U50" s="19"/>
      <c r="V50" s="19"/>
    </row>
    <row r="51" spans="1:22" x14ac:dyDescent="0.25">
      <c r="A51" s="21"/>
      <c r="B51" s="19"/>
      <c r="C51" s="19"/>
      <c r="D51" s="19"/>
      <c r="E51" s="19" t="s">
        <v>19</v>
      </c>
      <c r="F51" s="19"/>
      <c r="G51" s="19"/>
      <c r="H51" s="19"/>
      <c r="I51" s="19"/>
      <c r="J51" s="19"/>
      <c r="K51" s="24"/>
      <c r="L51" s="25"/>
      <c r="M51" s="19">
        <f t="shared" ref="M51:S51" si="6">+M50*0.7</f>
        <v>0</v>
      </c>
      <c r="N51" s="19">
        <f t="shared" si="6"/>
        <v>175</v>
      </c>
      <c r="O51" s="19">
        <f t="shared" si="6"/>
        <v>244.99999999999997</v>
      </c>
      <c r="P51" s="19">
        <f t="shared" si="6"/>
        <v>280</v>
      </c>
      <c r="Q51" s="19">
        <f t="shared" si="6"/>
        <v>315</v>
      </c>
      <c r="R51" s="19">
        <f t="shared" si="6"/>
        <v>350</v>
      </c>
      <c r="S51" s="19">
        <f t="shared" si="6"/>
        <v>385</v>
      </c>
      <c r="T51" s="19" t="s">
        <v>87</v>
      </c>
      <c r="U51" s="19"/>
      <c r="V51" s="19"/>
    </row>
    <row r="53" spans="1:22" x14ac:dyDescent="0.25">
      <c r="A53" s="5" t="s">
        <v>99</v>
      </c>
    </row>
    <row r="54" spans="1:22" x14ac:dyDescent="0.25">
      <c r="A54" s="19"/>
      <c r="B54" s="19"/>
      <c r="C54" s="19" t="s">
        <v>21</v>
      </c>
      <c r="D54" s="19"/>
      <c r="E54" s="19"/>
      <c r="F54" s="22" t="s">
        <v>26</v>
      </c>
      <c r="G54" s="19"/>
      <c r="H54" s="19"/>
      <c r="I54" s="19"/>
      <c r="J54" s="19"/>
    </row>
    <row r="55" spans="1:22" x14ac:dyDescent="0.25">
      <c r="A55" s="19"/>
      <c r="B55" s="19"/>
      <c r="C55" s="19"/>
      <c r="D55" s="19"/>
      <c r="E55" s="19"/>
      <c r="F55" s="19"/>
      <c r="G55" s="19"/>
      <c r="H55" s="19"/>
      <c r="I55" s="19"/>
      <c r="J55" s="19"/>
    </row>
    <row r="56" spans="1:22" x14ac:dyDescent="0.25">
      <c r="A56" s="19"/>
      <c r="B56" s="19"/>
      <c r="C56" s="19"/>
      <c r="D56" s="19"/>
      <c r="E56" s="19"/>
      <c r="F56" s="19"/>
      <c r="G56" s="19"/>
      <c r="H56" s="19"/>
      <c r="I56" s="19"/>
      <c r="J56" s="19"/>
    </row>
    <row r="57" spans="1:22" x14ac:dyDescent="0.25">
      <c r="A57" s="19"/>
      <c r="B57" s="19"/>
      <c r="C57" s="19" t="s">
        <v>20</v>
      </c>
      <c r="D57" s="19"/>
      <c r="E57" s="19"/>
      <c r="F57" s="22" t="s">
        <v>43</v>
      </c>
      <c r="G57" s="19" t="s">
        <v>91</v>
      </c>
      <c r="H57" s="19"/>
      <c r="I57" s="19"/>
      <c r="J57" s="19"/>
    </row>
    <row r="58" spans="1:22" x14ac:dyDescent="0.25">
      <c r="A58" s="19"/>
      <c r="B58" s="19"/>
      <c r="C58" s="19" t="s">
        <v>100</v>
      </c>
      <c r="D58" s="19"/>
      <c r="E58" s="19"/>
      <c r="F58" s="22"/>
      <c r="G58" s="19"/>
      <c r="H58" s="19"/>
      <c r="I58" s="19"/>
      <c r="J58" s="19"/>
    </row>
    <row r="59" spans="1:22" x14ac:dyDescent="0.25">
      <c r="A59" s="19"/>
      <c r="B59" s="19"/>
      <c r="C59" s="19"/>
      <c r="D59" s="19"/>
      <c r="E59" s="19"/>
      <c r="F59" s="22"/>
      <c r="G59" s="19"/>
      <c r="H59" s="19"/>
      <c r="I59" s="19"/>
      <c r="J59" s="19"/>
    </row>
    <row r="60" spans="1:22" x14ac:dyDescent="0.25">
      <c r="A60" s="19"/>
      <c r="B60" s="19"/>
      <c r="C60" s="19" t="s">
        <v>24</v>
      </c>
      <c r="D60" s="19"/>
      <c r="E60" s="19"/>
      <c r="F60" s="19"/>
      <c r="G60" s="19"/>
      <c r="H60" s="19"/>
      <c r="I60" s="19"/>
      <c r="J60" s="19"/>
    </row>
    <row r="61" spans="1:22" x14ac:dyDescent="0.25">
      <c r="A61" s="19" t="s">
        <v>95</v>
      </c>
      <c r="B61" s="19"/>
      <c r="C61" s="21">
        <v>640</v>
      </c>
      <c r="D61" s="19"/>
      <c r="E61" s="19"/>
      <c r="F61" s="19" t="s">
        <v>28</v>
      </c>
      <c r="G61" s="19"/>
      <c r="H61" s="19"/>
      <c r="I61" s="19"/>
      <c r="J61" s="19"/>
    </row>
    <row r="62" spans="1:22" x14ac:dyDescent="0.25">
      <c r="A62" s="19" t="s">
        <v>96</v>
      </c>
      <c r="B62" s="19"/>
      <c r="C62" s="21">
        <v>900</v>
      </c>
      <c r="D62" s="19"/>
      <c r="E62" s="19"/>
      <c r="F62" s="23" t="s">
        <v>29</v>
      </c>
      <c r="G62" s="19"/>
      <c r="H62" s="19"/>
      <c r="I62" s="19"/>
      <c r="J62" s="19"/>
    </row>
    <row r="63" spans="1:22" x14ac:dyDescent="0.25">
      <c r="A63" s="19" t="s">
        <v>97</v>
      </c>
      <c r="B63" s="19"/>
      <c r="C63" s="21">
        <v>1250</v>
      </c>
      <c r="D63" s="19"/>
      <c r="E63" s="19"/>
      <c r="F63" s="23" t="s">
        <v>27</v>
      </c>
      <c r="G63" s="19"/>
      <c r="H63" s="19"/>
      <c r="I63" s="19"/>
      <c r="J63" s="19"/>
    </row>
    <row r="64" spans="1:22" x14ac:dyDescent="0.25">
      <c r="A64" s="19" t="s">
        <v>98</v>
      </c>
      <c r="B64" s="19"/>
      <c r="C64" s="21">
        <v>1600</v>
      </c>
      <c r="D64" s="19"/>
      <c r="E64" s="19"/>
      <c r="F64" s="23" t="s">
        <v>23</v>
      </c>
      <c r="G64" s="19"/>
      <c r="H64" s="19"/>
      <c r="I64" s="19"/>
      <c r="J64" s="19"/>
    </row>
    <row r="65" spans="1:25" x14ac:dyDescent="0.25">
      <c r="A65" s="19"/>
      <c r="B65" s="19"/>
      <c r="C65" s="19"/>
      <c r="D65" s="19"/>
      <c r="E65" s="19"/>
      <c r="F65" s="19"/>
      <c r="G65" s="19"/>
      <c r="H65" s="19"/>
      <c r="I65" s="19"/>
      <c r="J65" s="19"/>
    </row>
    <row r="66" spans="1:25" x14ac:dyDescent="0.25">
      <c r="A66" s="19"/>
      <c r="B66" s="19"/>
      <c r="C66" s="19" t="s">
        <v>25</v>
      </c>
      <c r="D66" s="19"/>
      <c r="E66" s="19"/>
      <c r="F66" s="23" t="s">
        <v>22</v>
      </c>
      <c r="G66" s="19"/>
      <c r="H66" s="19"/>
      <c r="I66" s="19"/>
      <c r="J66" s="19"/>
    </row>
    <row r="67" spans="1:25" x14ac:dyDescent="0.25">
      <c r="A67" s="19"/>
      <c r="B67" s="19"/>
      <c r="C67" s="19"/>
      <c r="D67" s="19"/>
      <c r="E67" s="19" t="s">
        <v>48</v>
      </c>
      <c r="F67" s="23" t="s">
        <v>26</v>
      </c>
      <c r="G67" s="19"/>
      <c r="H67" s="19"/>
      <c r="I67" s="19"/>
      <c r="J67" s="19"/>
    </row>
    <row r="68" spans="1:25" x14ac:dyDescent="0.25">
      <c r="A68" s="19"/>
      <c r="B68" s="19"/>
      <c r="C68" s="19"/>
      <c r="D68" s="19"/>
      <c r="E68" s="19"/>
      <c r="F68" s="19"/>
      <c r="G68" s="19"/>
      <c r="H68" s="19"/>
      <c r="I68" s="19"/>
      <c r="J68" s="19"/>
      <c r="U68" s="9"/>
      <c r="V68" s="10" t="s">
        <v>86</v>
      </c>
      <c r="W68" s="10"/>
      <c r="X68" s="10"/>
      <c r="Y68" s="11"/>
    </row>
    <row r="69" spans="1:25" x14ac:dyDescent="0.25">
      <c r="U69" s="12" t="s">
        <v>82</v>
      </c>
      <c r="V69" s="18"/>
      <c r="W69" t="s">
        <v>80</v>
      </c>
      <c r="Y69" s="13"/>
    </row>
    <row r="70" spans="1:25" x14ac:dyDescent="0.25">
      <c r="U70" s="12"/>
      <c r="V70" s="7"/>
      <c r="W70" t="s">
        <v>76</v>
      </c>
      <c r="Y70" s="13"/>
    </row>
    <row r="71" spans="1:25" x14ac:dyDescent="0.25">
      <c r="C71" s="5" t="s">
        <v>50</v>
      </c>
      <c r="D71" s="5"/>
      <c r="E71" s="5"/>
      <c r="F71" s="5"/>
      <c r="G71" s="5"/>
      <c r="H71" s="5"/>
      <c r="I71" s="5" t="s">
        <v>37</v>
      </c>
      <c r="M71" s="5" t="s">
        <v>51</v>
      </c>
      <c r="N71" s="5"/>
      <c r="O71" s="5"/>
      <c r="P71" s="5"/>
      <c r="Q71" s="5"/>
      <c r="R71" s="5"/>
      <c r="S71" s="5" t="s">
        <v>37</v>
      </c>
      <c r="U71" s="12" t="s">
        <v>88</v>
      </c>
      <c r="V71" s="6"/>
      <c r="Y71" s="13"/>
    </row>
    <row r="72" spans="1:25" x14ac:dyDescent="0.25">
      <c r="U72" s="12"/>
      <c r="V72" s="8"/>
      <c r="W72" t="s">
        <v>77</v>
      </c>
      <c r="Y72" s="13"/>
    </row>
    <row r="73" spans="1:25" x14ac:dyDescent="0.25">
      <c r="A73" t="s">
        <v>107</v>
      </c>
      <c r="B73" t="s">
        <v>108</v>
      </c>
      <c r="C73" t="s">
        <v>1</v>
      </c>
      <c r="D73">
        <v>5</v>
      </c>
      <c r="E73" t="s">
        <v>30</v>
      </c>
      <c r="M73" t="s">
        <v>1</v>
      </c>
      <c r="N73">
        <v>5</v>
      </c>
      <c r="O73" t="s">
        <v>30</v>
      </c>
      <c r="U73" s="12" t="s">
        <v>110</v>
      </c>
      <c r="V73" s="6"/>
      <c r="Y73" s="13"/>
    </row>
    <row r="74" spans="1:25" x14ac:dyDescent="0.25">
      <c r="B74" t="s">
        <v>108</v>
      </c>
      <c r="C74" t="s">
        <v>4</v>
      </c>
      <c r="D74">
        <v>120</v>
      </c>
      <c r="E74" t="s">
        <v>30</v>
      </c>
      <c r="M74" t="s">
        <v>4</v>
      </c>
      <c r="N74">
        <v>120</v>
      </c>
      <c r="O74" t="s">
        <v>30</v>
      </c>
      <c r="U74" s="12"/>
      <c r="V74" s="14"/>
      <c r="W74" t="s">
        <v>78</v>
      </c>
      <c r="Y74" s="13"/>
    </row>
    <row r="75" spans="1:25" x14ac:dyDescent="0.25">
      <c r="U75" s="12"/>
      <c r="V75" s="14"/>
      <c r="W75" t="s">
        <v>81</v>
      </c>
      <c r="Y75" s="13"/>
    </row>
    <row r="76" spans="1:25" x14ac:dyDescent="0.25">
      <c r="B76" t="s">
        <v>108</v>
      </c>
      <c r="C76" t="s">
        <v>31</v>
      </c>
      <c r="D76" t="s">
        <v>32</v>
      </c>
      <c r="E76" t="s">
        <v>33</v>
      </c>
      <c r="F76">
        <v>35</v>
      </c>
      <c r="M76" t="s">
        <v>31</v>
      </c>
      <c r="N76" t="s">
        <v>52</v>
      </c>
      <c r="O76" t="s">
        <v>33</v>
      </c>
      <c r="P76">
        <v>45</v>
      </c>
      <c r="U76" s="15" t="s">
        <v>90</v>
      </c>
      <c r="V76" s="16"/>
      <c r="W76" s="16"/>
      <c r="X76" s="16"/>
      <c r="Y76" s="17"/>
    </row>
    <row r="77" spans="1:25" x14ac:dyDescent="0.25">
      <c r="B77" t="s">
        <v>108</v>
      </c>
      <c r="D77" t="s">
        <v>34</v>
      </c>
      <c r="E77" t="s">
        <v>33</v>
      </c>
      <c r="F77">
        <v>40</v>
      </c>
      <c r="N77" t="s">
        <v>52</v>
      </c>
      <c r="O77" t="s">
        <v>33</v>
      </c>
      <c r="P77">
        <v>45</v>
      </c>
    </row>
    <row r="78" spans="1:25" x14ac:dyDescent="0.25">
      <c r="C78" t="s">
        <v>35</v>
      </c>
      <c r="F78">
        <v>37.5</v>
      </c>
      <c r="G78" t="s">
        <v>36</v>
      </c>
      <c r="I78" s="4">
        <v>-0.05</v>
      </c>
      <c r="M78" t="s">
        <v>35</v>
      </c>
      <c r="P78">
        <v>45</v>
      </c>
      <c r="Q78" t="s">
        <v>36</v>
      </c>
      <c r="S78" s="4">
        <v>-0.2</v>
      </c>
    </row>
    <row r="79" spans="1:25" x14ac:dyDescent="0.25">
      <c r="U79" s="9"/>
      <c r="V79" s="10" t="s">
        <v>85</v>
      </c>
      <c r="W79" s="10"/>
      <c r="X79" s="10"/>
      <c r="Y79" s="11"/>
    </row>
    <row r="80" spans="1:25" x14ac:dyDescent="0.25">
      <c r="U80" s="12" t="s">
        <v>82</v>
      </c>
      <c r="V80" s="18"/>
      <c r="W80" t="s">
        <v>80</v>
      </c>
      <c r="Y80" s="13"/>
    </row>
    <row r="81" spans="2:31" x14ac:dyDescent="0.25">
      <c r="B81" t="s">
        <v>109</v>
      </c>
      <c r="C81" t="s">
        <v>24</v>
      </c>
      <c r="E81">
        <v>900</v>
      </c>
      <c r="I81" s="3">
        <v>0.05</v>
      </c>
      <c r="M81" t="s">
        <v>24</v>
      </c>
      <c r="O81">
        <v>900</v>
      </c>
      <c r="S81" s="3">
        <v>0.05</v>
      </c>
      <c r="U81" s="12" t="s">
        <v>88</v>
      </c>
      <c r="V81" s="7"/>
      <c r="W81" t="s">
        <v>76</v>
      </c>
      <c r="Y81" s="13"/>
    </row>
    <row r="82" spans="2:31" x14ac:dyDescent="0.25">
      <c r="U82" s="12"/>
      <c r="V82" s="6"/>
      <c r="W82" t="s">
        <v>79</v>
      </c>
      <c r="Y82" s="13"/>
    </row>
    <row r="83" spans="2:31" x14ac:dyDescent="0.25">
      <c r="B83" t="s">
        <v>109</v>
      </c>
      <c r="C83" t="s">
        <v>38</v>
      </c>
      <c r="I83" s="3">
        <v>0</v>
      </c>
      <c r="M83" t="s">
        <v>38</v>
      </c>
      <c r="S83" s="3">
        <v>0</v>
      </c>
      <c r="U83" s="12"/>
      <c r="V83" s="8"/>
      <c r="W83" t="s">
        <v>77</v>
      </c>
      <c r="Y83" s="13"/>
    </row>
    <row r="84" spans="2:31" x14ac:dyDescent="0.25">
      <c r="U84" s="12" t="s">
        <v>118</v>
      </c>
      <c r="V84" s="6"/>
      <c r="W84" t="s">
        <v>79</v>
      </c>
      <c r="Y84" s="13"/>
    </row>
    <row r="85" spans="2:31" x14ac:dyDescent="0.25">
      <c r="C85" t="s">
        <v>40</v>
      </c>
      <c r="H85" t="s">
        <v>74</v>
      </c>
      <c r="M85" t="s">
        <v>40</v>
      </c>
      <c r="R85" t="s">
        <v>74</v>
      </c>
      <c r="U85" s="12"/>
      <c r="V85" s="14"/>
      <c r="W85" t="s">
        <v>78</v>
      </c>
      <c r="Y85" s="13"/>
    </row>
    <row r="86" spans="2:31" x14ac:dyDescent="0.25">
      <c r="C86" t="s">
        <v>44</v>
      </c>
      <c r="F86">
        <v>900</v>
      </c>
      <c r="G86" t="s">
        <v>45</v>
      </c>
      <c r="I86">
        <f>+F86*1.1</f>
        <v>990.00000000000011</v>
      </c>
      <c r="J86" t="s">
        <v>45</v>
      </c>
      <c r="M86" t="s">
        <v>55</v>
      </c>
      <c r="P86">
        <v>765</v>
      </c>
      <c r="Q86" t="s">
        <v>45</v>
      </c>
      <c r="S86">
        <f>+P86*1.1</f>
        <v>841.50000000000011</v>
      </c>
      <c r="T86" t="s">
        <v>45</v>
      </c>
      <c r="U86" s="12"/>
      <c r="V86" s="14"/>
      <c r="W86" t="s">
        <v>81</v>
      </c>
      <c r="Y86" s="13"/>
    </row>
    <row r="87" spans="2:31" x14ac:dyDescent="0.25">
      <c r="N87" t="s">
        <v>19</v>
      </c>
      <c r="U87" s="15" t="s">
        <v>122</v>
      </c>
      <c r="V87" s="16"/>
      <c r="W87" s="16"/>
      <c r="X87" s="16"/>
      <c r="Y87" s="17"/>
      <c r="AA87" s="9"/>
      <c r="AB87" s="10" t="s">
        <v>85</v>
      </c>
      <c r="AC87" s="10"/>
      <c r="AD87" s="10"/>
      <c r="AE87" s="11"/>
    </row>
    <row r="88" spans="2:31" x14ac:dyDescent="0.25">
      <c r="C88" t="s">
        <v>39</v>
      </c>
      <c r="M88" t="s">
        <v>119</v>
      </c>
      <c r="U88" t="s">
        <v>92</v>
      </c>
      <c r="AA88" s="12" t="s">
        <v>82</v>
      </c>
      <c r="AB88" s="18"/>
      <c r="AC88" t="s">
        <v>80</v>
      </c>
      <c r="AE88" s="13"/>
    </row>
    <row r="89" spans="2:31" x14ac:dyDescent="0.25">
      <c r="AA89" s="12" t="s">
        <v>88</v>
      </c>
      <c r="AB89" s="7"/>
      <c r="AC89" t="s">
        <v>76</v>
      </c>
      <c r="AE89" s="13"/>
    </row>
    <row r="90" spans="2:31" x14ac:dyDescent="0.25">
      <c r="AA90" s="12"/>
      <c r="AB90" s="7"/>
      <c r="AE90" s="13"/>
    </row>
    <row r="91" spans="2:31" x14ac:dyDescent="0.25">
      <c r="C91" t="s">
        <v>41</v>
      </c>
      <c r="M91" t="s">
        <v>41</v>
      </c>
      <c r="AA91" s="12"/>
      <c r="AB91" s="7"/>
      <c r="AC91" t="s">
        <v>77</v>
      </c>
      <c r="AE91" s="13"/>
    </row>
    <row r="92" spans="2:31" x14ac:dyDescent="0.25">
      <c r="C92" t="s">
        <v>46</v>
      </c>
      <c r="F92">
        <v>945</v>
      </c>
      <c r="G92" t="s">
        <v>45</v>
      </c>
      <c r="I92">
        <f>+F92*1.1</f>
        <v>1039.5</v>
      </c>
      <c r="J92" t="s">
        <v>45</v>
      </c>
      <c r="M92" t="s">
        <v>54</v>
      </c>
      <c r="P92">
        <v>810</v>
      </c>
      <c r="Q92" t="s">
        <v>45</v>
      </c>
      <c r="S92">
        <f>+P92*1.1</f>
        <v>891.00000000000011</v>
      </c>
      <c r="T92" t="s">
        <v>45</v>
      </c>
      <c r="AA92" s="12" t="s">
        <v>120</v>
      </c>
      <c r="AB92" s="6"/>
      <c r="AC92" t="s">
        <v>83</v>
      </c>
      <c r="AE92" s="13"/>
    </row>
    <row r="93" spans="2:31" x14ac:dyDescent="0.25">
      <c r="AA93" s="12"/>
      <c r="AB93" s="14"/>
      <c r="AC93" t="s">
        <v>78</v>
      </c>
      <c r="AE93" s="13"/>
    </row>
    <row r="94" spans="2:31" x14ac:dyDescent="0.25">
      <c r="C94" t="s">
        <v>42</v>
      </c>
      <c r="M94" t="s">
        <v>42</v>
      </c>
      <c r="U94" s="9"/>
      <c r="V94" s="10" t="s">
        <v>85</v>
      </c>
      <c r="W94" s="10"/>
      <c r="X94" s="10"/>
      <c r="Y94" s="11"/>
      <c r="AA94" s="12"/>
      <c r="AB94" s="14"/>
      <c r="AC94" t="s">
        <v>81</v>
      </c>
      <c r="AE94" s="13"/>
    </row>
    <row r="95" spans="2:31" x14ac:dyDescent="0.25">
      <c r="C95" t="s">
        <v>47</v>
      </c>
      <c r="F95">
        <v>855</v>
      </c>
      <c r="G95" t="s">
        <v>45</v>
      </c>
      <c r="I95">
        <f>+F95*1.1</f>
        <v>940.50000000000011</v>
      </c>
      <c r="J95" t="s">
        <v>45</v>
      </c>
      <c r="M95" t="s">
        <v>53</v>
      </c>
      <c r="P95">
        <v>720</v>
      </c>
      <c r="Q95" t="s">
        <v>45</v>
      </c>
      <c r="S95">
        <f>+P95*1.1</f>
        <v>792.00000000000011</v>
      </c>
      <c r="T95" t="s">
        <v>45</v>
      </c>
      <c r="U95" s="12" t="s">
        <v>82</v>
      </c>
      <c r="V95" s="18"/>
      <c r="W95" t="s">
        <v>80</v>
      </c>
      <c r="Y95" s="13"/>
      <c r="AA95" s="15" t="s">
        <v>121</v>
      </c>
      <c r="AB95" s="16"/>
      <c r="AC95" s="16"/>
      <c r="AD95" s="16"/>
      <c r="AE95" s="17"/>
    </row>
    <row r="96" spans="2:31" x14ac:dyDescent="0.25">
      <c r="U96" s="12" t="s">
        <v>88</v>
      </c>
      <c r="V96" s="7"/>
      <c r="W96" t="s">
        <v>76</v>
      </c>
      <c r="Y96" s="13"/>
      <c r="AA96" t="s">
        <v>94</v>
      </c>
    </row>
    <row r="97" spans="1:25" x14ac:dyDescent="0.25">
      <c r="C97" t="s">
        <v>49</v>
      </c>
      <c r="M97" t="s">
        <v>75</v>
      </c>
      <c r="U97" s="12"/>
      <c r="V97" s="6"/>
      <c r="W97" t="s">
        <v>83</v>
      </c>
      <c r="Y97" s="13"/>
    </row>
    <row r="98" spans="1:25" x14ac:dyDescent="0.25">
      <c r="U98" s="12"/>
      <c r="V98" s="8"/>
      <c r="W98" t="s">
        <v>77</v>
      </c>
      <c r="Y98" s="13"/>
    </row>
    <row r="99" spans="1:25" x14ac:dyDescent="0.25">
      <c r="U99" s="12" t="s">
        <v>89</v>
      </c>
      <c r="V99" s="6"/>
      <c r="W99" t="s">
        <v>83</v>
      </c>
      <c r="Y99" s="13"/>
    </row>
    <row r="100" spans="1:25" x14ac:dyDescent="0.25">
      <c r="U100" s="12"/>
      <c r="V100" s="14"/>
      <c r="W100" t="s">
        <v>78</v>
      </c>
      <c r="Y100" s="13"/>
    </row>
    <row r="101" spans="1:25" x14ac:dyDescent="0.25">
      <c r="A101" s="5" t="s">
        <v>101</v>
      </c>
      <c r="G101" s="5" t="s">
        <v>102</v>
      </c>
      <c r="U101" s="12"/>
      <c r="V101" s="14"/>
      <c r="W101" t="s">
        <v>81</v>
      </c>
      <c r="Y101" s="13"/>
    </row>
    <row r="102" spans="1:25" x14ac:dyDescent="0.25">
      <c r="A102" s="19"/>
      <c r="B102" s="19"/>
      <c r="C102" s="19" t="s">
        <v>56</v>
      </c>
      <c r="D102" s="19"/>
      <c r="E102" s="19"/>
      <c r="F102" s="19"/>
      <c r="G102" s="19" t="s">
        <v>69</v>
      </c>
      <c r="H102" s="19"/>
      <c r="U102" s="15" t="s">
        <v>84</v>
      </c>
      <c r="V102" s="16"/>
      <c r="W102" s="16"/>
      <c r="X102" s="16"/>
      <c r="Y102" s="17"/>
    </row>
    <row r="103" spans="1:25" x14ac:dyDescent="0.25">
      <c r="A103" s="19"/>
      <c r="B103" s="19"/>
      <c r="C103" s="19" t="s">
        <v>63</v>
      </c>
      <c r="D103" s="19"/>
      <c r="E103" s="19" t="s">
        <v>68</v>
      </c>
      <c r="F103" s="19"/>
      <c r="G103" s="19"/>
      <c r="H103" s="19"/>
      <c r="U103" t="s">
        <v>93</v>
      </c>
    </row>
    <row r="104" spans="1:25" x14ac:dyDescent="0.25">
      <c r="A104" s="19"/>
      <c r="B104" s="19"/>
      <c r="C104" s="19" t="s">
        <v>64</v>
      </c>
      <c r="D104" s="19"/>
      <c r="E104" s="19">
        <v>35</v>
      </c>
      <c r="F104" s="19"/>
      <c r="G104" s="19" t="s">
        <v>70</v>
      </c>
      <c r="H104" s="19"/>
    </row>
    <row r="105" spans="1:25" x14ac:dyDescent="0.25">
      <c r="A105" s="19"/>
      <c r="B105" s="19"/>
      <c r="C105" s="19" t="s">
        <v>142</v>
      </c>
      <c r="D105" s="19"/>
      <c r="E105" s="19">
        <v>38</v>
      </c>
      <c r="F105" s="19"/>
      <c r="G105" s="19" t="s">
        <v>71</v>
      </c>
      <c r="H105" s="19"/>
    </row>
    <row r="106" spans="1:25" x14ac:dyDescent="0.25">
      <c r="A106" s="19"/>
      <c r="B106" s="19"/>
      <c r="C106" s="19" t="s">
        <v>65</v>
      </c>
      <c r="D106" s="19"/>
      <c r="E106" s="19">
        <v>40</v>
      </c>
      <c r="F106" s="19"/>
      <c r="G106" s="19" t="s">
        <v>70</v>
      </c>
      <c r="H106" s="19"/>
    </row>
    <row r="107" spans="1:25" x14ac:dyDescent="0.25">
      <c r="A107" s="19"/>
      <c r="B107" s="19"/>
      <c r="C107" s="19" t="s">
        <v>66</v>
      </c>
      <c r="D107" s="19"/>
      <c r="E107" s="19">
        <v>40</v>
      </c>
      <c r="F107" s="19"/>
      <c r="G107" s="19" t="s">
        <v>70</v>
      </c>
      <c r="H107" s="19"/>
    </row>
    <row r="108" spans="1:25" x14ac:dyDescent="0.25">
      <c r="A108" s="19"/>
      <c r="B108" s="19"/>
      <c r="C108" s="19" t="s">
        <v>67</v>
      </c>
      <c r="D108" s="19"/>
      <c r="E108" s="19">
        <v>40</v>
      </c>
      <c r="F108" s="19"/>
      <c r="G108" s="19" t="s">
        <v>70</v>
      </c>
      <c r="H108" s="19"/>
    </row>
    <row r="109" spans="1:25" x14ac:dyDescent="0.25">
      <c r="A109" s="19"/>
      <c r="B109" s="19"/>
      <c r="C109" s="19"/>
      <c r="D109" s="19"/>
      <c r="E109" s="19"/>
      <c r="F109" s="19"/>
      <c r="G109" s="19"/>
      <c r="H109" s="19"/>
    </row>
    <row r="110" spans="1:25" x14ac:dyDescent="0.25">
      <c r="A110" s="19"/>
      <c r="B110" s="19"/>
      <c r="C110" s="19" t="s">
        <v>61</v>
      </c>
      <c r="D110" s="19"/>
      <c r="E110" s="19">
        <v>45</v>
      </c>
      <c r="F110" s="19"/>
      <c r="G110" s="19" t="s">
        <v>70</v>
      </c>
      <c r="H110" s="19"/>
    </row>
    <row r="111" spans="1:25" x14ac:dyDescent="0.25">
      <c r="A111" s="19"/>
      <c r="B111" s="19"/>
      <c r="C111" s="19" t="s">
        <v>62</v>
      </c>
      <c r="D111" s="19"/>
      <c r="E111" s="19">
        <v>45</v>
      </c>
      <c r="F111" s="19"/>
      <c r="G111" s="19" t="s">
        <v>70</v>
      </c>
      <c r="H111" s="19"/>
    </row>
    <row r="112" spans="1:25" x14ac:dyDescent="0.25">
      <c r="A112" s="19"/>
      <c r="B112" s="19"/>
      <c r="C112" s="19" t="s">
        <v>72</v>
      </c>
      <c r="D112" s="19"/>
      <c r="E112" s="19">
        <v>45</v>
      </c>
      <c r="F112" s="19"/>
      <c r="G112" s="19" t="s">
        <v>71</v>
      </c>
      <c r="H112" s="19"/>
    </row>
    <row r="113" spans="1:25" x14ac:dyDescent="0.25">
      <c r="A113" s="19"/>
      <c r="B113" s="19"/>
      <c r="C113" s="19" t="s">
        <v>57</v>
      </c>
      <c r="D113" s="19"/>
      <c r="E113" s="19">
        <v>45</v>
      </c>
      <c r="F113" s="19"/>
      <c r="G113" s="19" t="s">
        <v>71</v>
      </c>
      <c r="H113" s="19"/>
    </row>
    <row r="114" spans="1:25" x14ac:dyDescent="0.25">
      <c r="A114" s="19"/>
      <c r="B114" s="19"/>
      <c r="C114" s="19" t="s">
        <v>58</v>
      </c>
      <c r="D114" s="19"/>
      <c r="E114" s="19">
        <v>45</v>
      </c>
      <c r="F114" s="19"/>
      <c r="G114" s="19" t="s">
        <v>71</v>
      </c>
      <c r="H114" s="19"/>
    </row>
    <row r="115" spans="1:25" x14ac:dyDescent="0.25">
      <c r="A115" s="19"/>
      <c r="B115" s="19"/>
      <c r="C115" s="19" t="s">
        <v>59</v>
      </c>
      <c r="D115" s="19"/>
      <c r="E115" s="19">
        <v>45</v>
      </c>
      <c r="F115" s="19"/>
      <c r="G115" s="19" t="s">
        <v>73</v>
      </c>
      <c r="H115" s="19"/>
    </row>
    <row r="116" spans="1:25" x14ac:dyDescent="0.25">
      <c r="A116" s="19"/>
      <c r="B116" s="19"/>
      <c r="C116" s="19" t="s">
        <v>60</v>
      </c>
      <c r="D116" s="19"/>
      <c r="E116" s="19">
        <v>45</v>
      </c>
      <c r="F116" s="19"/>
      <c r="G116" s="19" t="s">
        <v>73</v>
      </c>
      <c r="H116" s="19"/>
    </row>
    <row r="119" spans="1:25" x14ac:dyDescent="0.25">
      <c r="A119" s="5" t="s">
        <v>104</v>
      </c>
    </row>
    <row r="120" spans="1:25" x14ac:dyDescent="0.25">
      <c r="A120" s="19"/>
      <c r="B120" s="19"/>
      <c r="C120" s="19"/>
      <c r="D120" s="19"/>
      <c r="E120" s="19"/>
      <c r="F120" s="19"/>
      <c r="G120" s="19"/>
      <c r="H120" s="19"/>
      <c r="U120" s="15" t="s">
        <v>84</v>
      </c>
      <c r="V120" s="16"/>
      <c r="W120" s="16"/>
      <c r="X120" s="16"/>
      <c r="Y120" s="17"/>
    </row>
    <row r="121" spans="1:25" x14ac:dyDescent="0.25">
      <c r="A121" s="19" t="s">
        <v>105</v>
      </c>
      <c r="B121" s="19"/>
      <c r="C121" s="19"/>
      <c r="D121" s="19"/>
      <c r="E121" s="19"/>
      <c r="F121" s="19"/>
      <c r="G121" s="19"/>
      <c r="H121" s="19"/>
      <c r="U121" t="s">
        <v>93</v>
      </c>
    </row>
    <row r="122" spans="1:25" x14ac:dyDescent="0.25">
      <c r="A122" s="19"/>
      <c r="B122" s="19"/>
      <c r="C122" s="19"/>
      <c r="D122" s="19"/>
      <c r="E122" s="19"/>
      <c r="F122" s="19"/>
      <c r="G122" s="19"/>
      <c r="H122" s="19"/>
    </row>
    <row r="123" spans="1:25" x14ac:dyDescent="0.25">
      <c r="A123" s="19" t="s">
        <v>106</v>
      </c>
      <c r="B123" s="19"/>
      <c r="C123" s="19"/>
      <c r="D123" s="19"/>
      <c r="E123" s="19"/>
      <c r="F123" s="19"/>
      <c r="G123" s="19"/>
      <c r="H123" s="19"/>
    </row>
    <row r="124" spans="1:25" x14ac:dyDescent="0.25">
      <c r="A124" s="19"/>
      <c r="B124" s="19"/>
      <c r="C124" s="19"/>
      <c r="D124" s="19"/>
      <c r="E124" s="19"/>
      <c r="F124" s="19"/>
      <c r="G124" s="19"/>
      <c r="H124" s="19"/>
    </row>
    <row r="125" spans="1:25" x14ac:dyDescent="0.25">
      <c r="A125" s="19"/>
      <c r="B125" s="19"/>
      <c r="C125" s="19"/>
      <c r="D125" s="19"/>
      <c r="E125" s="19"/>
      <c r="F125" s="19"/>
      <c r="G125" s="19"/>
      <c r="H125" s="19"/>
    </row>
    <row r="126" spans="1:25" x14ac:dyDescent="0.25">
      <c r="A126" s="19"/>
      <c r="B126" s="19"/>
      <c r="C126" s="19"/>
      <c r="D126" s="19"/>
      <c r="E126" s="19"/>
      <c r="F126" s="19"/>
      <c r="G126" s="19"/>
      <c r="H126" s="19"/>
    </row>
    <row r="127" spans="1:25" x14ac:dyDescent="0.25">
      <c r="A127" s="19"/>
      <c r="B127" s="19"/>
      <c r="C127" s="19"/>
      <c r="D127" s="19"/>
      <c r="E127" s="19"/>
      <c r="F127" s="19"/>
      <c r="G127" s="19"/>
      <c r="H127" s="19"/>
    </row>
    <row r="128" spans="1:25" x14ac:dyDescent="0.25">
      <c r="A128" s="19"/>
      <c r="B128" s="19"/>
      <c r="C128" s="19"/>
      <c r="D128" s="19"/>
      <c r="E128" s="19"/>
      <c r="F128" s="19"/>
      <c r="G128" s="19"/>
      <c r="H128" s="19"/>
    </row>
    <row r="129" spans="1:8" x14ac:dyDescent="0.25">
      <c r="A129" s="19"/>
      <c r="B129" s="19"/>
      <c r="C129" s="19"/>
      <c r="D129" s="19"/>
      <c r="E129" s="19"/>
      <c r="F129" s="19"/>
      <c r="G129" s="19"/>
      <c r="H129" s="19"/>
    </row>
    <row r="130" spans="1:8" x14ac:dyDescent="0.25">
      <c r="A130" s="19"/>
      <c r="B130" s="19"/>
      <c r="C130" s="19"/>
      <c r="D130" s="19"/>
      <c r="E130" s="19"/>
      <c r="F130" s="19"/>
      <c r="G130" s="19"/>
      <c r="H130" s="19"/>
    </row>
    <row r="131" spans="1:8" x14ac:dyDescent="0.25">
      <c r="A131" s="19"/>
      <c r="B131" s="19"/>
      <c r="C131" s="19"/>
      <c r="D131" s="19"/>
      <c r="E131" s="19"/>
      <c r="F131" s="19"/>
      <c r="G131" s="19"/>
      <c r="H131" s="19"/>
    </row>
    <row r="132" spans="1:8" x14ac:dyDescent="0.25">
      <c r="A132" s="19"/>
      <c r="B132" s="19"/>
      <c r="C132" s="19"/>
      <c r="D132" s="19"/>
      <c r="E132" s="19"/>
      <c r="F132" s="19"/>
      <c r="G132" s="19"/>
      <c r="H132" s="19"/>
    </row>
    <row r="133" spans="1:8" x14ac:dyDescent="0.25">
      <c r="A133" s="19"/>
      <c r="B133" s="19"/>
      <c r="C133" s="19"/>
      <c r="D133" s="19"/>
      <c r="E133" s="19"/>
      <c r="F133" s="19"/>
      <c r="G133" s="19"/>
      <c r="H133" s="19"/>
    </row>
    <row r="134" spans="1:8" x14ac:dyDescent="0.25">
      <c r="A134" s="19"/>
      <c r="B134" s="19"/>
      <c r="C134" s="19"/>
      <c r="D134" s="19"/>
      <c r="E134" s="19"/>
      <c r="F134" s="19"/>
      <c r="G134" s="19"/>
      <c r="H134" s="19"/>
    </row>
  </sheetData>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F2452-C80D-465A-A435-865B9414ADF9}">
  <dimension ref="A1:P110"/>
  <sheetViews>
    <sheetView zoomScale="55" zoomScaleNormal="55" workbookViewId="0">
      <selection activeCell="K137" sqref="K137"/>
    </sheetView>
  </sheetViews>
  <sheetFormatPr defaultRowHeight="15" x14ac:dyDescent="0.25"/>
  <cols>
    <col min="1" max="1" width="18.140625" customWidth="1"/>
    <col min="2" max="8" width="17.140625" customWidth="1"/>
  </cols>
  <sheetData>
    <row r="1" spans="1:16" ht="18.75" x14ac:dyDescent="0.3">
      <c r="A1" s="28" t="s">
        <v>140</v>
      </c>
    </row>
    <row r="3" spans="1:16" x14ac:dyDescent="0.25">
      <c r="A3" s="29" t="s">
        <v>125</v>
      </c>
      <c r="B3" s="29" t="s">
        <v>133</v>
      </c>
      <c r="C3" s="29" t="s">
        <v>134</v>
      </c>
      <c r="D3" s="29" t="s">
        <v>135</v>
      </c>
      <c r="E3" s="29" t="s">
        <v>136</v>
      </c>
      <c r="F3" s="29" t="s">
        <v>137</v>
      </c>
      <c r="G3" s="29" t="s">
        <v>138</v>
      </c>
      <c r="H3" s="29" t="s">
        <v>139</v>
      </c>
      <c r="J3" s="29" t="s">
        <v>126</v>
      </c>
      <c r="K3" s="29" t="s">
        <v>127</v>
      </c>
      <c r="L3" s="29" t="s">
        <v>128</v>
      </c>
      <c r="M3" s="29" t="s">
        <v>129</v>
      </c>
      <c r="N3" s="29" t="s">
        <v>130</v>
      </c>
      <c r="O3" s="29" t="s">
        <v>131</v>
      </c>
      <c r="P3" s="29" t="s">
        <v>132</v>
      </c>
    </row>
    <row r="4" spans="1:16" x14ac:dyDescent="0.25">
      <c r="A4">
        <v>2</v>
      </c>
      <c r="B4">
        <f>IF(ISBLANK('BG-DATA NY'!C32),NA(),'BG-DATA NY'!C32/10)</f>
        <v>60</v>
      </c>
      <c r="C4">
        <f>IF(ISBLANK('BG-DATA NY'!D32),NA(),'BG-DATA NY'!D32/10)</f>
        <v>65</v>
      </c>
      <c r="D4">
        <f>IF(ISBLANK('BG-DATA NY'!E32),NA(),'BG-DATA NY'!E32/10)</f>
        <v>70</v>
      </c>
      <c r="E4">
        <f>IF(ISBLANK('BG-DATA NY'!F32),NA(),'BG-DATA NY'!F32/10)</f>
        <v>80</v>
      </c>
      <c r="F4">
        <f>IF(ISBLANK('BG-DATA NY'!G32),NA(),'BG-DATA NY'!G32/10)</f>
        <v>90</v>
      </c>
      <c r="G4">
        <f>IF(ISBLANK('BG-DATA NY'!H32),NA(),'BG-DATA NY'!H32/10)</f>
        <v>105</v>
      </c>
      <c r="H4">
        <f>IF(ISBLANK('BG-DATA NY'!I32),NA(),'BG-DATA NY'!I32/10)</f>
        <v>120</v>
      </c>
      <c r="J4">
        <f>IF(ISBLANK('BG-DATA NY'!M32),NA(),'BG-DATA NY'!M32/10)</f>
        <v>90</v>
      </c>
      <c r="K4">
        <f>IF(ISBLANK('BG-DATA NY'!N32),NA(),'BG-DATA NY'!N32/10)</f>
        <v>100</v>
      </c>
      <c r="L4">
        <f>IF(ISBLANK('BG-DATA NY'!O32),NA(),'BG-DATA NY'!O32/10)</f>
        <v>110</v>
      </c>
      <c r="M4">
        <f>IF(ISBLANK('BG-DATA NY'!P32),NA(),'BG-DATA NY'!P32/10)</f>
        <v>120</v>
      </c>
      <c r="N4">
        <f>IF(ISBLANK('BG-DATA NY'!Q32),NA(),'BG-DATA NY'!Q32/10)</f>
        <v>135</v>
      </c>
      <c r="O4">
        <f>IF(ISBLANK('BG-DATA NY'!R32),NA(),'BG-DATA NY'!R32/10)</f>
        <v>150</v>
      </c>
      <c r="P4">
        <f>IF(ISBLANK('BG-DATA NY'!S32),NA(),'BG-DATA NY'!S32/10)</f>
        <v>170</v>
      </c>
    </row>
    <row r="5" spans="1:16" x14ac:dyDescent="0.25">
      <c r="A5">
        <v>5</v>
      </c>
      <c r="B5">
        <f>IF(ISBLANK('BG-DATA NY'!C35),NA(),'BG-DATA NY'!C35/10)</f>
        <v>45</v>
      </c>
      <c r="C5">
        <f>IF(ISBLANK('BG-DATA NY'!D35),NA(),'BG-DATA NY'!D35/10)</f>
        <v>54</v>
      </c>
      <c r="D5">
        <f>IF(ISBLANK('BG-DATA NY'!E35),NA(),'BG-DATA NY'!E35/10)</f>
        <v>60</v>
      </c>
      <c r="E5">
        <f>IF(ISBLANK('BG-DATA NY'!F35),NA(),'BG-DATA NY'!F35/10)</f>
        <v>70</v>
      </c>
      <c r="F5">
        <f>IF(ISBLANK('BG-DATA NY'!G35),NA(),'BG-DATA NY'!G35/10)</f>
        <v>80</v>
      </c>
      <c r="G5">
        <f>IF(ISBLANK('BG-DATA NY'!H35),NA(),'BG-DATA NY'!H35/10)</f>
        <v>90</v>
      </c>
      <c r="H5">
        <f>IF(ISBLANK('BG-DATA NY'!I35),NA(),'BG-DATA NY'!I35/10)</f>
        <v>100</v>
      </c>
      <c r="J5">
        <f>IF(ISBLANK('BG-DATA NY'!M35),NA(),'BG-DATA NY'!M35/10)</f>
        <v>70</v>
      </c>
      <c r="K5">
        <f>IF(ISBLANK('BG-DATA NY'!N35),NA(),'BG-DATA NY'!N35/10)</f>
        <v>82</v>
      </c>
      <c r="L5">
        <f>IF(ISBLANK('BG-DATA NY'!O35),NA(),'BG-DATA NY'!O35/10)</f>
        <v>95</v>
      </c>
      <c r="M5">
        <f>IF(ISBLANK('BG-DATA NY'!P35),NA(),'BG-DATA NY'!P35/10)</f>
        <v>110</v>
      </c>
      <c r="N5">
        <f>IF(ISBLANK('BG-DATA NY'!Q35),NA(),'BG-DATA NY'!Q35/10)</f>
        <v>120</v>
      </c>
      <c r="O5">
        <f>IF(ISBLANK('BG-DATA NY'!R35),NA(),'BG-DATA NY'!R35/10)</f>
        <v>130</v>
      </c>
      <c r="P5">
        <f>IF(ISBLANK('BG-DATA NY'!S35),NA(),'BG-DATA NY'!S35/10)</f>
        <v>140</v>
      </c>
    </row>
    <row r="6" spans="1:16" x14ac:dyDescent="0.25">
      <c r="A6">
        <v>10</v>
      </c>
      <c r="B6">
        <f>IF(ISBLANK('BG-DATA NY'!C38),NA(),'BG-DATA NY'!C38/10)</f>
        <v>32</v>
      </c>
      <c r="C6">
        <f>IF(ISBLANK('BG-DATA NY'!D38),NA(),'BG-DATA NY'!D38/10)</f>
        <v>40</v>
      </c>
      <c r="D6">
        <f>IF(ISBLANK('BG-DATA NY'!E38),NA(),'BG-DATA NY'!E38/10)</f>
        <v>45</v>
      </c>
      <c r="E6">
        <f>IF(ISBLANK('BG-DATA NY'!F38),NA(),'BG-DATA NY'!F38/10)</f>
        <v>50</v>
      </c>
      <c r="F6">
        <f>IF(ISBLANK('BG-DATA NY'!G38),NA(),'BG-DATA NY'!G38/10)</f>
        <v>60</v>
      </c>
      <c r="G6">
        <f>IF(ISBLANK('BG-DATA NY'!H38),NA(),'BG-DATA NY'!H38/10)</f>
        <v>70</v>
      </c>
      <c r="H6">
        <f>IF(ISBLANK('BG-DATA NY'!I38),NA(),'BG-DATA NY'!I38/10)</f>
        <v>77</v>
      </c>
      <c r="J6">
        <f>IF(ISBLANK('BG-DATA NY'!M38),NA(),'BG-DATA NY'!M38/10)</f>
        <v>55</v>
      </c>
      <c r="K6">
        <f>IF(ISBLANK('BG-DATA NY'!N38),NA(),'BG-DATA NY'!N38/10)</f>
        <v>60</v>
      </c>
      <c r="L6">
        <f>IF(ISBLANK('BG-DATA NY'!O38),NA(),'BG-DATA NY'!O38/10)</f>
        <v>65</v>
      </c>
      <c r="M6">
        <f>IF(ISBLANK('BG-DATA NY'!P38),NA(),'BG-DATA NY'!P38/10)</f>
        <v>80</v>
      </c>
      <c r="N6">
        <f>IF(ISBLANK('BG-DATA NY'!Q38),NA(),'BG-DATA NY'!Q38/10)</f>
        <v>90</v>
      </c>
      <c r="O6">
        <f>IF(ISBLANK('BG-DATA NY'!R38),NA(),'BG-DATA NY'!R38/10)</f>
        <v>100</v>
      </c>
      <c r="P6">
        <f>IF(ISBLANK('BG-DATA NY'!S38),NA(),'BG-DATA NY'!S38/10)</f>
        <v>110</v>
      </c>
    </row>
    <row r="7" spans="1:16" x14ac:dyDescent="0.25">
      <c r="A7">
        <v>15</v>
      </c>
      <c r="B7">
        <f>IF(ISBLANK('BG-DATA NY'!C41),NA(),'BG-DATA NY'!C41/10)</f>
        <v>25</v>
      </c>
      <c r="C7">
        <f>IF(ISBLANK('BG-DATA NY'!D41),NA(),'BG-DATA NY'!D41/10)</f>
        <v>33</v>
      </c>
      <c r="D7">
        <f>IF(ISBLANK('BG-DATA NY'!E41),NA(),'BG-DATA NY'!E41/10)</f>
        <v>40</v>
      </c>
      <c r="E7">
        <f>IF(ISBLANK('BG-DATA NY'!F41),NA(),'BG-DATA NY'!F41/10)</f>
        <v>45</v>
      </c>
      <c r="F7">
        <f>IF(ISBLANK('BG-DATA NY'!G41),NA(),'BG-DATA NY'!G41/10)</f>
        <v>50</v>
      </c>
      <c r="G7">
        <f>IF(ISBLANK('BG-DATA NY'!H41),NA(),'BG-DATA NY'!H41/10)</f>
        <v>58</v>
      </c>
      <c r="H7">
        <f>IF(ISBLANK('BG-DATA NY'!I41),NA(),'BG-DATA NY'!I41/10)</f>
        <v>65</v>
      </c>
      <c r="J7">
        <f>IF(ISBLANK('BG-DATA NY'!M41),NA(),'BG-DATA NY'!M41/10)</f>
        <v>38</v>
      </c>
      <c r="K7">
        <f>IF(ISBLANK('BG-DATA NY'!N41),NA(),'BG-DATA NY'!N41/10)</f>
        <v>45</v>
      </c>
      <c r="L7">
        <f>IF(ISBLANK('BG-DATA NY'!O41),NA(),'BG-DATA NY'!O41/10)</f>
        <v>50</v>
      </c>
      <c r="M7">
        <f>IF(ISBLANK('BG-DATA NY'!P41),NA(),'BG-DATA NY'!P41/10)</f>
        <v>60</v>
      </c>
      <c r="N7">
        <f>IF(ISBLANK('BG-DATA NY'!Q41),NA(),'BG-DATA NY'!Q41/10)</f>
        <v>70</v>
      </c>
      <c r="O7">
        <f>IF(ISBLANK('BG-DATA NY'!R41),NA(),'BG-DATA NY'!R41/10)</f>
        <v>80</v>
      </c>
      <c r="P7">
        <f>IF(ISBLANK('BG-DATA NY'!S41),NA(),'BG-DATA NY'!S41/10)</f>
        <v>90</v>
      </c>
    </row>
    <row r="8" spans="1:16" x14ac:dyDescent="0.25">
      <c r="A8">
        <v>20</v>
      </c>
      <c r="B8">
        <f>IF(ISBLANK('BG-DATA NY'!C44),NA(),'BG-DATA NY'!C44/10)</f>
        <v>20</v>
      </c>
      <c r="C8">
        <f>IF(ISBLANK('BG-DATA NY'!D44),NA(),'BG-DATA NY'!D44/10)</f>
        <v>25</v>
      </c>
      <c r="D8">
        <f>IF(ISBLANK('BG-DATA NY'!E44),NA(),'BG-DATA NY'!E44/10)</f>
        <v>28</v>
      </c>
      <c r="E8">
        <f>IF(ISBLANK('BG-DATA NY'!F44),NA(),'BG-DATA NY'!F44/10)</f>
        <v>34</v>
      </c>
      <c r="F8">
        <f>IF(ISBLANK('BG-DATA NY'!G44),NA(),'BG-DATA NY'!G44/10)</f>
        <v>41</v>
      </c>
      <c r="G8">
        <f>IF(ISBLANK('BG-DATA NY'!H44),NA(),'BG-DATA NY'!H44/10)</f>
        <v>44</v>
      </c>
      <c r="H8">
        <f>IF(ISBLANK('BG-DATA NY'!I44),NA(),'BG-DATA NY'!I44/10)</f>
        <v>53</v>
      </c>
      <c r="J8">
        <f>IF(ISBLANK('BG-DATA NY'!M44),NA(),'BG-DATA NY'!M44/10)</f>
        <v>29</v>
      </c>
      <c r="K8">
        <f>IF(ISBLANK('BG-DATA NY'!N44),NA(),'BG-DATA NY'!N44/10)</f>
        <v>35</v>
      </c>
      <c r="L8">
        <f>IF(ISBLANK('BG-DATA NY'!O44),NA(),'BG-DATA NY'!O44/10)</f>
        <v>38</v>
      </c>
      <c r="M8">
        <f>IF(ISBLANK('BG-DATA NY'!P44),NA(),'BG-DATA NY'!P44/10)</f>
        <v>48</v>
      </c>
      <c r="N8">
        <f>IF(ISBLANK('BG-DATA NY'!Q44),NA(),'BG-DATA NY'!Q44/10)</f>
        <v>58</v>
      </c>
      <c r="O8">
        <f>IF(ISBLANK('BG-DATA NY'!R44),NA(),'BG-DATA NY'!R44/10)</f>
        <v>63</v>
      </c>
      <c r="P8">
        <f>IF(ISBLANK('BG-DATA NY'!S44),NA(),'BG-DATA NY'!S44/10)</f>
        <v>75</v>
      </c>
    </row>
    <row r="9" spans="1:16" x14ac:dyDescent="0.25">
      <c r="A9">
        <v>30</v>
      </c>
      <c r="B9" t="e">
        <f>IF(ISBLANK('BG-DATA NY'!C47),NA(),'BG-DATA NY'!C47/10)</f>
        <v>#N/A</v>
      </c>
      <c r="C9">
        <f>IF(ISBLANK('BG-DATA NY'!D47),NA(),'BG-DATA NY'!D47/10)</f>
        <v>23</v>
      </c>
      <c r="D9">
        <f>IF(ISBLANK('BG-DATA NY'!E47),NA(),'BG-DATA NY'!E47/10)</f>
        <v>27</v>
      </c>
      <c r="E9">
        <f>IF(ISBLANK('BG-DATA NY'!F47),NA(),'BG-DATA NY'!F47/10)</f>
        <v>30</v>
      </c>
      <c r="F9">
        <f>IF(ISBLANK('BG-DATA NY'!G47),NA(),'BG-DATA NY'!G47/10)</f>
        <v>33</v>
      </c>
      <c r="G9">
        <f>IF(ISBLANK('BG-DATA NY'!H47),NA(),'BG-DATA NY'!H47/10)</f>
        <v>38</v>
      </c>
      <c r="H9">
        <f>IF(ISBLANK('BG-DATA NY'!I47),NA(),'BG-DATA NY'!I47/10)</f>
        <v>42</v>
      </c>
      <c r="J9" t="e">
        <f>IF(ISBLANK('BG-DATA NY'!M47),NA(),'BG-DATA NY'!M47/10)</f>
        <v>#N/A</v>
      </c>
      <c r="K9">
        <f>IF(ISBLANK('BG-DATA NY'!N47),NA(),'BG-DATA NY'!N47/10)</f>
        <v>32.5</v>
      </c>
      <c r="L9">
        <f>IF(ISBLANK('BG-DATA NY'!O47),NA(),'BG-DATA NY'!O47/10)</f>
        <v>37.5</v>
      </c>
      <c r="M9">
        <f>IF(ISBLANK('BG-DATA NY'!P47),NA(),'BG-DATA NY'!P47/10)</f>
        <v>42.5</v>
      </c>
      <c r="N9">
        <f>IF(ISBLANK('BG-DATA NY'!Q47),NA(),'BG-DATA NY'!Q47/10)</f>
        <v>47.5</v>
      </c>
      <c r="O9">
        <f>IF(ISBLANK('BG-DATA NY'!R47),NA(),'BG-DATA NY'!R47/10)</f>
        <v>55</v>
      </c>
      <c r="P9">
        <f>IF(ISBLANK('BG-DATA NY'!S47),NA(),'BG-DATA NY'!S47/10)</f>
        <v>60</v>
      </c>
    </row>
    <row r="10" spans="1:16" x14ac:dyDescent="0.25">
      <c r="A10">
        <v>40</v>
      </c>
      <c r="B10" t="e">
        <f>IF(ISBLANK('BG-DATA NY'!C50),NA(),'BG-DATA NY'!C50/10)</f>
        <v>#N/A</v>
      </c>
      <c r="C10">
        <f>IF(ISBLANK('BG-DATA NY'!D50),NA(),'BG-DATA NY'!D50/10)</f>
        <v>20</v>
      </c>
      <c r="D10">
        <f>IF(ISBLANK('BG-DATA NY'!E50),NA(),'BG-DATA NY'!E50/10)</f>
        <v>24.5</v>
      </c>
      <c r="E10">
        <f>IF(ISBLANK('BG-DATA NY'!F50),NA(),'BG-DATA NY'!F50/10)</f>
        <v>28</v>
      </c>
      <c r="F10">
        <f>IF(ISBLANK('BG-DATA NY'!G50),NA(),'BG-DATA NY'!G50/10)</f>
        <v>31</v>
      </c>
      <c r="G10">
        <f>IF(ISBLANK('BG-DATA NY'!H50),NA(),'BG-DATA NY'!H50/10)</f>
        <v>35</v>
      </c>
      <c r="H10">
        <f>IF(ISBLANK('BG-DATA NY'!I50),NA(),'BG-DATA NY'!I50/10)</f>
        <v>38</v>
      </c>
      <c r="J10" t="e">
        <f>IF(ISBLANK('BG-DATA NY'!M50),NA(),'BG-DATA NY'!M50/10)</f>
        <v>#N/A</v>
      </c>
      <c r="K10">
        <f>IF(ISBLANK('BG-DATA NY'!N50),NA(),'BG-DATA NY'!N50/10)</f>
        <v>25</v>
      </c>
      <c r="L10">
        <f>IF(ISBLANK('BG-DATA NY'!O50),NA(),'BG-DATA NY'!O50/10)</f>
        <v>35</v>
      </c>
      <c r="M10">
        <f>IF(ISBLANK('BG-DATA NY'!P50),NA(),'BG-DATA NY'!P50/10)</f>
        <v>40</v>
      </c>
      <c r="N10">
        <f>IF(ISBLANK('BG-DATA NY'!Q50),NA(),'BG-DATA NY'!Q50/10)</f>
        <v>45</v>
      </c>
      <c r="O10">
        <f>IF(ISBLANK('BG-DATA NY'!R50),NA(),'BG-DATA NY'!R50/10)</f>
        <v>50</v>
      </c>
      <c r="P10">
        <f>IF(ISBLANK('BG-DATA NY'!S50),NA(),'BG-DATA NY'!S50/10)</f>
        <v>55</v>
      </c>
    </row>
    <row r="110" spans="1:1" x14ac:dyDescent="0.25">
      <c r="A110" t="s">
        <v>141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6:V74"/>
  <sheetViews>
    <sheetView topLeftCell="A55" workbookViewId="0">
      <selection activeCell="P91" sqref="P91"/>
    </sheetView>
  </sheetViews>
  <sheetFormatPr defaultRowHeight="15" x14ac:dyDescent="0.25"/>
  <cols>
    <col min="2" max="2" width="13.5703125" bestFit="1" customWidth="1"/>
    <col min="3" max="3" width="14" bestFit="1" customWidth="1"/>
  </cols>
  <sheetData>
    <row r="26" spans="1:22" x14ac:dyDescent="0.25">
      <c r="A26" s="19" t="s">
        <v>7</v>
      </c>
      <c r="B26" s="19"/>
      <c r="C26" s="19"/>
      <c r="D26" s="19"/>
      <c r="E26" s="19"/>
      <c r="F26" s="19" t="s">
        <v>8</v>
      </c>
      <c r="G26" s="19"/>
      <c r="H26" s="19"/>
      <c r="I26" s="19"/>
      <c r="J26" s="19"/>
      <c r="K26" s="24"/>
      <c r="L26" s="25"/>
      <c r="M26" s="19"/>
      <c r="N26" s="19"/>
      <c r="O26" s="19"/>
      <c r="P26" s="19" t="s">
        <v>8</v>
      </c>
      <c r="Q26" s="19"/>
      <c r="R26" s="19"/>
      <c r="S26" s="19"/>
      <c r="T26" s="19"/>
      <c r="U26" s="19"/>
      <c r="V26" s="19"/>
    </row>
    <row r="27" spans="1:22" x14ac:dyDescent="0.25">
      <c r="A27" s="21"/>
      <c r="B27" s="21" t="s">
        <v>4</v>
      </c>
      <c r="C27" s="21">
        <v>30</v>
      </c>
      <c r="D27" s="21">
        <v>45</v>
      </c>
      <c r="E27" s="21">
        <v>60</v>
      </c>
      <c r="F27" s="21">
        <v>80</v>
      </c>
      <c r="G27" s="21">
        <v>100</v>
      </c>
      <c r="H27" s="21">
        <v>120</v>
      </c>
      <c r="I27" s="21">
        <v>150</v>
      </c>
      <c r="J27" s="21" t="s">
        <v>3</v>
      </c>
      <c r="K27" s="26"/>
      <c r="L27" s="27"/>
      <c r="M27" s="21">
        <v>30</v>
      </c>
      <c r="N27" s="21">
        <v>45</v>
      </c>
      <c r="O27" s="21">
        <v>60</v>
      </c>
      <c r="P27" s="21">
        <v>80</v>
      </c>
      <c r="Q27" s="21">
        <v>100</v>
      </c>
      <c r="R27" s="21">
        <v>120</v>
      </c>
      <c r="S27" s="21">
        <v>150</v>
      </c>
      <c r="T27" s="21" t="s">
        <v>3</v>
      </c>
      <c r="U27" s="21"/>
      <c r="V27" s="21"/>
    </row>
    <row r="28" spans="1:22" x14ac:dyDescent="0.25">
      <c r="A28" s="19" t="s">
        <v>1</v>
      </c>
      <c r="B28" s="19"/>
      <c r="C28" s="19"/>
      <c r="D28" s="19"/>
      <c r="E28" s="19"/>
      <c r="F28" s="19"/>
      <c r="G28" s="19"/>
      <c r="H28" s="19"/>
      <c r="I28" s="19"/>
      <c r="J28" s="19"/>
      <c r="K28" s="24"/>
      <c r="L28" s="25"/>
      <c r="M28" s="19"/>
      <c r="N28" s="19"/>
      <c r="O28" s="19"/>
      <c r="P28" s="19"/>
      <c r="Q28" s="19"/>
      <c r="R28" s="19"/>
      <c r="S28" s="19"/>
      <c r="T28" s="19"/>
      <c r="U28" s="19"/>
      <c r="V28" s="19"/>
    </row>
    <row r="29" spans="1:22" x14ac:dyDescent="0.25">
      <c r="A29" s="21">
        <v>2</v>
      </c>
      <c r="B29" s="19"/>
      <c r="C29" s="19">
        <v>600</v>
      </c>
      <c r="D29" s="19">
        <v>650</v>
      </c>
      <c r="E29" s="19">
        <v>700</v>
      </c>
      <c r="F29" s="19">
        <v>800</v>
      </c>
      <c r="G29" s="19">
        <v>900</v>
      </c>
      <c r="H29" s="19">
        <v>1050</v>
      </c>
      <c r="I29" s="19">
        <v>1200</v>
      </c>
      <c r="J29" s="19"/>
      <c r="K29" s="24"/>
      <c r="L29" s="25"/>
      <c r="M29" s="19">
        <v>900</v>
      </c>
      <c r="N29" s="20">
        <v>1000</v>
      </c>
      <c r="O29" s="20">
        <v>1100</v>
      </c>
      <c r="P29" s="19">
        <v>1200</v>
      </c>
      <c r="Q29" s="19">
        <v>1350</v>
      </c>
      <c r="R29" s="19">
        <v>1500</v>
      </c>
      <c r="S29" s="19">
        <v>1700</v>
      </c>
      <c r="T29" s="19"/>
      <c r="U29" s="19"/>
      <c r="V29" s="19"/>
    </row>
    <row r="30" spans="1:22" x14ac:dyDescent="0.25">
      <c r="A30" s="21"/>
      <c r="B30" s="19"/>
      <c r="C30" s="19"/>
      <c r="D30" s="19"/>
      <c r="E30" s="19"/>
      <c r="F30" s="19"/>
      <c r="G30" s="19"/>
      <c r="H30" s="19"/>
      <c r="I30" s="19"/>
      <c r="J30" s="19"/>
      <c r="K30" s="24"/>
      <c r="L30" s="25"/>
      <c r="M30" s="19">
        <f>+M29*0.65</f>
        <v>585</v>
      </c>
      <c r="N30" s="19">
        <f>+N29*0.65</f>
        <v>650</v>
      </c>
      <c r="O30" s="19">
        <f>+O29*0.65</f>
        <v>715</v>
      </c>
      <c r="P30" s="19">
        <f>+P29*0.65</f>
        <v>780</v>
      </c>
      <c r="Q30" s="19">
        <f>+Q29*0.65</f>
        <v>877.5</v>
      </c>
      <c r="R30" s="19">
        <f t="shared" ref="R30" si="0">+R29*0.7</f>
        <v>1050</v>
      </c>
      <c r="S30" s="19">
        <f>+S29*0.7</f>
        <v>1190</v>
      </c>
      <c r="T30" s="19" t="s">
        <v>87</v>
      </c>
      <c r="U30" s="19"/>
      <c r="V30" s="19"/>
    </row>
    <row r="31" spans="1:22" x14ac:dyDescent="0.25">
      <c r="A31" s="21"/>
      <c r="B31" s="19"/>
      <c r="C31" s="19"/>
      <c r="D31" s="19"/>
      <c r="E31" s="19"/>
      <c r="F31" s="19"/>
      <c r="G31" s="19"/>
      <c r="H31" s="19"/>
      <c r="I31" s="19"/>
      <c r="J31" s="19"/>
      <c r="K31" s="24"/>
      <c r="L31" s="25"/>
      <c r="M31" s="19"/>
      <c r="N31" s="20"/>
      <c r="O31" s="20"/>
      <c r="P31" s="19"/>
      <c r="Q31" s="19"/>
      <c r="R31" s="19"/>
      <c r="S31" s="19"/>
      <c r="T31" s="19"/>
      <c r="U31" s="19"/>
      <c r="V31" s="19"/>
    </row>
    <row r="32" spans="1:22" x14ac:dyDescent="0.25">
      <c r="A32" s="21">
        <v>5</v>
      </c>
      <c r="B32" s="19"/>
      <c r="C32" s="19">
        <v>450</v>
      </c>
      <c r="D32" s="19">
        <v>540</v>
      </c>
      <c r="E32" s="19">
        <v>600</v>
      </c>
      <c r="F32" s="19">
        <v>700</v>
      </c>
      <c r="G32" s="19">
        <v>800</v>
      </c>
      <c r="H32" s="19">
        <v>900</v>
      </c>
      <c r="I32" s="19">
        <v>1000</v>
      </c>
      <c r="J32" s="19"/>
      <c r="K32" s="24"/>
      <c r="L32" s="25"/>
      <c r="M32" s="19">
        <v>700</v>
      </c>
      <c r="N32" s="20">
        <v>820</v>
      </c>
      <c r="O32" s="20">
        <v>950</v>
      </c>
      <c r="P32" s="19">
        <v>1100</v>
      </c>
      <c r="Q32" s="19">
        <v>1200</v>
      </c>
      <c r="R32" s="19">
        <v>1300</v>
      </c>
      <c r="S32" s="19">
        <v>1400</v>
      </c>
      <c r="T32" s="19"/>
      <c r="U32" s="19"/>
      <c r="V32" s="19"/>
    </row>
    <row r="33" spans="1:22" x14ac:dyDescent="0.25">
      <c r="A33" s="21"/>
      <c r="B33" s="19"/>
      <c r="C33" s="19"/>
      <c r="D33" s="19"/>
      <c r="E33" s="19"/>
      <c r="F33" s="19"/>
      <c r="G33" s="19"/>
      <c r="H33" s="19"/>
      <c r="I33" s="19"/>
      <c r="J33" s="19"/>
      <c r="K33" s="24"/>
      <c r="L33" s="25"/>
      <c r="M33" s="19">
        <f>+M32*0.65</f>
        <v>455</v>
      </c>
      <c r="N33" s="19">
        <f>+N32*0.65</f>
        <v>533</v>
      </c>
      <c r="O33" s="19">
        <f>+O32*0.65</f>
        <v>617.5</v>
      </c>
      <c r="P33" s="19">
        <f>+P32*0.65</f>
        <v>715</v>
      </c>
      <c r="Q33" s="19">
        <f>+Q32*0.65</f>
        <v>780</v>
      </c>
      <c r="R33" s="19">
        <f t="shared" ref="R33" si="1">+R32*0.7</f>
        <v>909.99999999999989</v>
      </c>
      <c r="S33" s="19">
        <f>+S32*0.7</f>
        <v>979.99999999999989</v>
      </c>
      <c r="T33" s="19" t="s">
        <v>87</v>
      </c>
      <c r="U33" s="19"/>
      <c r="V33" s="19"/>
    </row>
    <row r="34" spans="1:22" x14ac:dyDescent="0.25">
      <c r="A34" s="21"/>
      <c r="B34" s="19"/>
      <c r="C34" s="19"/>
      <c r="D34" s="19"/>
      <c r="E34" s="19"/>
      <c r="F34" s="19"/>
      <c r="G34" s="19"/>
      <c r="H34" s="19"/>
      <c r="I34" s="19"/>
      <c r="J34" s="19"/>
      <c r="K34" s="24"/>
      <c r="L34" s="25"/>
      <c r="M34" s="19"/>
      <c r="N34" s="20"/>
      <c r="O34" s="20"/>
      <c r="P34" s="19"/>
      <c r="Q34" s="19"/>
      <c r="R34" s="19"/>
      <c r="S34" s="19"/>
      <c r="T34" s="19"/>
      <c r="U34" s="19"/>
      <c r="V34" s="19"/>
    </row>
    <row r="35" spans="1:22" x14ac:dyDescent="0.25">
      <c r="A35" s="21">
        <v>10</v>
      </c>
      <c r="B35" s="19"/>
      <c r="C35" s="19">
        <v>320</v>
      </c>
      <c r="D35" s="19">
        <v>400</v>
      </c>
      <c r="E35" s="19">
        <v>450</v>
      </c>
      <c r="F35" s="19">
        <v>500</v>
      </c>
      <c r="G35" s="19">
        <v>600</v>
      </c>
      <c r="H35" s="19">
        <v>700</v>
      </c>
      <c r="I35" s="19">
        <v>770</v>
      </c>
      <c r="J35" s="19"/>
      <c r="K35" s="24"/>
      <c r="L35" s="25"/>
      <c r="M35" s="19">
        <v>550</v>
      </c>
      <c r="N35" s="20">
        <v>600</v>
      </c>
      <c r="O35" s="20">
        <v>650</v>
      </c>
      <c r="P35" s="19">
        <v>800</v>
      </c>
      <c r="Q35" s="19">
        <v>900</v>
      </c>
      <c r="R35" s="19">
        <v>1000</v>
      </c>
      <c r="S35" s="19">
        <v>1100</v>
      </c>
      <c r="T35" s="19"/>
      <c r="U35" s="19"/>
      <c r="V35" s="19"/>
    </row>
    <row r="36" spans="1:22" x14ac:dyDescent="0.25">
      <c r="A36" s="21"/>
      <c r="B36" s="19"/>
      <c r="C36" s="19"/>
      <c r="D36" s="19"/>
      <c r="E36" s="19"/>
      <c r="F36" s="19"/>
      <c r="G36" s="19"/>
      <c r="H36" s="19"/>
      <c r="I36" s="19"/>
      <c r="J36" s="19"/>
      <c r="K36" s="24"/>
      <c r="L36" s="25"/>
      <c r="M36" s="19">
        <f>+M35*0.65</f>
        <v>357.5</v>
      </c>
      <c r="N36" s="19">
        <f>+N35*0.65</f>
        <v>390</v>
      </c>
      <c r="O36" s="19">
        <f t="shared" ref="O36:S36" si="2">+O35*0.7</f>
        <v>454.99999999999994</v>
      </c>
      <c r="P36" s="19">
        <f t="shared" si="2"/>
        <v>560</v>
      </c>
      <c r="Q36" s="19">
        <f t="shared" si="2"/>
        <v>630</v>
      </c>
      <c r="R36" s="19">
        <f t="shared" si="2"/>
        <v>700</v>
      </c>
      <c r="S36" s="19">
        <f t="shared" si="2"/>
        <v>770</v>
      </c>
      <c r="T36" s="19" t="s">
        <v>87</v>
      </c>
      <c r="U36" s="19"/>
      <c r="V36" s="19"/>
    </row>
    <row r="37" spans="1:22" x14ac:dyDescent="0.25">
      <c r="A37" s="21"/>
      <c r="B37" s="19"/>
      <c r="C37" s="19"/>
      <c r="D37" s="19"/>
      <c r="E37" s="19"/>
      <c r="F37" s="19"/>
      <c r="G37" s="19"/>
      <c r="H37" s="19"/>
      <c r="I37" s="19"/>
      <c r="J37" s="19"/>
      <c r="K37" s="24"/>
      <c r="L37" s="25"/>
      <c r="M37" s="19"/>
      <c r="N37" s="20"/>
      <c r="O37" s="20"/>
      <c r="P37" s="19"/>
      <c r="Q37" s="19"/>
      <c r="R37" s="19"/>
      <c r="S37" s="19"/>
      <c r="T37" s="19"/>
      <c r="U37" s="19"/>
      <c r="V37" s="19"/>
    </row>
    <row r="38" spans="1:22" x14ac:dyDescent="0.25">
      <c r="A38" s="21">
        <v>15</v>
      </c>
      <c r="B38" s="19"/>
      <c r="C38" s="19">
        <v>250</v>
      </c>
      <c r="D38" s="19">
        <v>330</v>
      </c>
      <c r="E38" s="19">
        <v>400</v>
      </c>
      <c r="F38" s="19">
        <v>450</v>
      </c>
      <c r="G38" s="19">
        <v>500</v>
      </c>
      <c r="H38" s="19">
        <v>580</v>
      </c>
      <c r="I38" s="19">
        <v>650</v>
      </c>
      <c r="J38" s="19"/>
      <c r="K38" s="24"/>
      <c r="L38" s="25"/>
      <c r="M38" s="19">
        <v>380</v>
      </c>
      <c r="N38" s="20">
        <v>450</v>
      </c>
      <c r="O38" s="20">
        <v>500</v>
      </c>
      <c r="P38" s="19">
        <v>600</v>
      </c>
      <c r="Q38" s="19">
        <v>700</v>
      </c>
      <c r="R38" s="19">
        <v>800</v>
      </c>
      <c r="S38" s="19">
        <v>900</v>
      </c>
      <c r="T38" s="19"/>
      <c r="U38" s="19"/>
      <c r="V38" s="19"/>
    </row>
    <row r="39" spans="1:22" x14ac:dyDescent="0.25">
      <c r="A39" s="21"/>
      <c r="B39" s="19"/>
      <c r="C39" s="19"/>
      <c r="D39" s="19"/>
      <c r="E39" s="19"/>
      <c r="F39" s="19"/>
      <c r="G39" s="19"/>
      <c r="H39" s="19"/>
      <c r="I39" s="19"/>
      <c r="J39" s="19"/>
      <c r="K39" s="24"/>
      <c r="L39" s="25"/>
      <c r="M39" s="19">
        <f>+M38*0.65</f>
        <v>247</v>
      </c>
      <c r="N39" s="19">
        <f>+N38*0.65</f>
        <v>292.5</v>
      </c>
      <c r="O39" s="19">
        <f t="shared" ref="O39:S39" si="3">+O38*0.7</f>
        <v>350</v>
      </c>
      <c r="P39" s="19">
        <f t="shared" si="3"/>
        <v>420</v>
      </c>
      <c r="Q39" s="19">
        <f t="shared" si="3"/>
        <v>489.99999999999994</v>
      </c>
      <c r="R39" s="19">
        <f t="shared" si="3"/>
        <v>560</v>
      </c>
      <c r="S39" s="19">
        <f t="shared" si="3"/>
        <v>630</v>
      </c>
      <c r="T39" s="19" t="s">
        <v>87</v>
      </c>
      <c r="U39" s="19"/>
      <c r="V39" s="19"/>
    </row>
    <row r="40" spans="1:22" x14ac:dyDescent="0.25">
      <c r="A40" s="21"/>
      <c r="B40" s="19"/>
      <c r="C40" s="19"/>
      <c r="D40" s="19"/>
      <c r="E40" s="19"/>
      <c r="F40" s="19"/>
      <c r="G40" s="19"/>
      <c r="H40" s="19"/>
      <c r="I40" s="19"/>
      <c r="J40" s="19"/>
      <c r="K40" s="24"/>
      <c r="L40" s="25"/>
      <c r="M40" s="19"/>
      <c r="N40" s="20"/>
      <c r="O40" s="20"/>
      <c r="P40" s="19"/>
      <c r="Q40" s="19"/>
      <c r="R40" s="19"/>
      <c r="S40" s="19"/>
      <c r="T40" s="19"/>
      <c r="U40" s="19"/>
      <c r="V40" s="19"/>
    </row>
    <row r="41" spans="1:22" x14ac:dyDescent="0.25">
      <c r="A41" s="21">
        <v>20</v>
      </c>
      <c r="B41" s="19"/>
      <c r="C41" s="19">
        <v>200</v>
      </c>
      <c r="D41" s="19">
        <v>250</v>
      </c>
      <c r="E41" s="19">
        <v>280</v>
      </c>
      <c r="F41" s="19">
        <v>340</v>
      </c>
      <c r="G41" s="19">
        <v>410</v>
      </c>
      <c r="H41" s="19">
        <v>440</v>
      </c>
      <c r="I41" s="19">
        <v>530</v>
      </c>
      <c r="J41" s="19"/>
      <c r="K41" s="24"/>
      <c r="L41" s="25"/>
      <c r="M41" s="19">
        <v>290</v>
      </c>
      <c r="N41" s="20">
        <v>350</v>
      </c>
      <c r="O41" s="20">
        <v>380</v>
      </c>
      <c r="P41" s="19">
        <v>480</v>
      </c>
      <c r="Q41" s="19">
        <v>580</v>
      </c>
      <c r="R41" s="19">
        <v>630</v>
      </c>
      <c r="S41" s="19">
        <v>750</v>
      </c>
      <c r="T41" s="19"/>
      <c r="U41" s="19"/>
      <c r="V41" s="19"/>
    </row>
    <row r="42" spans="1:22" x14ac:dyDescent="0.25">
      <c r="A42" s="21"/>
      <c r="B42" s="19"/>
      <c r="C42" s="19"/>
      <c r="D42" s="19"/>
      <c r="E42" s="19"/>
      <c r="F42" s="19"/>
      <c r="G42" s="19"/>
      <c r="H42" s="19"/>
      <c r="I42" s="19"/>
      <c r="J42" s="19"/>
      <c r="K42" s="24"/>
      <c r="L42" s="25"/>
      <c r="M42" s="19">
        <f t="shared" ref="M42:S42" si="4">+M41*0.7</f>
        <v>203</v>
      </c>
      <c r="N42" s="19">
        <f t="shared" si="4"/>
        <v>244.99999999999997</v>
      </c>
      <c r="O42" s="19">
        <f t="shared" si="4"/>
        <v>266</v>
      </c>
      <c r="P42" s="19">
        <f t="shared" si="4"/>
        <v>336</v>
      </c>
      <c r="Q42" s="19">
        <f t="shared" si="4"/>
        <v>406</v>
      </c>
      <c r="R42" s="19">
        <f t="shared" si="4"/>
        <v>441</v>
      </c>
      <c r="S42" s="19">
        <f t="shared" si="4"/>
        <v>525</v>
      </c>
      <c r="T42" s="19" t="s">
        <v>87</v>
      </c>
      <c r="U42" s="19"/>
      <c r="V42" s="19"/>
    </row>
    <row r="43" spans="1:22" x14ac:dyDescent="0.25">
      <c r="A43" s="21"/>
      <c r="B43" s="19"/>
      <c r="C43" s="19"/>
      <c r="D43" s="19"/>
      <c r="E43" s="19"/>
      <c r="F43" s="19"/>
      <c r="G43" s="19"/>
      <c r="H43" s="19"/>
      <c r="I43" s="19"/>
      <c r="J43" s="19"/>
      <c r="K43" s="24"/>
      <c r="L43" s="25"/>
      <c r="M43" s="19"/>
      <c r="N43" s="20"/>
      <c r="O43" s="20"/>
      <c r="P43" s="19"/>
      <c r="Q43" s="19"/>
      <c r="R43" s="19"/>
      <c r="S43" s="19"/>
      <c r="T43" s="19"/>
      <c r="U43" s="19"/>
      <c r="V43" s="19"/>
    </row>
    <row r="44" spans="1:22" x14ac:dyDescent="0.25">
      <c r="A44" s="21">
        <v>30</v>
      </c>
      <c r="B44" s="19"/>
      <c r="C44" s="19"/>
      <c r="D44" s="19">
        <v>230</v>
      </c>
      <c r="E44" s="19">
        <v>270</v>
      </c>
      <c r="F44" s="19">
        <v>300</v>
      </c>
      <c r="G44" s="19">
        <v>330</v>
      </c>
      <c r="H44" s="19">
        <v>380</v>
      </c>
      <c r="I44" s="19">
        <v>420</v>
      </c>
      <c r="J44" s="19"/>
      <c r="K44" s="24"/>
      <c r="L44" s="25"/>
      <c r="M44" s="19"/>
      <c r="N44" s="20">
        <v>325</v>
      </c>
      <c r="O44" s="20">
        <v>375</v>
      </c>
      <c r="P44" s="19">
        <v>425</v>
      </c>
      <c r="Q44" s="19">
        <v>475</v>
      </c>
      <c r="R44" s="19">
        <v>550</v>
      </c>
      <c r="S44" s="19">
        <v>600</v>
      </c>
      <c r="T44" s="19"/>
      <c r="U44" s="19"/>
      <c r="V44" s="19"/>
    </row>
    <row r="45" spans="1:22" x14ac:dyDescent="0.25">
      <c r="A45" s="21"/>
      <c r="B45" s="19"/>
      <c r="C45" s="19"/>
      <c r="D45" s="19"/>
      <c r="E45" s="19"/>
      <c r="F45" s="19"/>
      <c r="G45" s="19"/>
      <c r="H45" s="19"/>
      <c r="I45" s="19"/>
      <c r="J45" s="19"/>
      <c r="K45" s="24"/>
      <c r="L45" s="25"/>
      <c r="M45" s="19">
        <f t="shared" ref="M45:S45" si="5">+M44*0.7</f>
        <v>0</v>
      </c>
      <c r="N45" s="19">
        <f t="shared" si="5"/>
        <v>227.49999999999997</v>
      </c>
      <c r="O45" s="19">
        <f t="shared" si="5"/>
        <v>262.5</v>
      </c>
      <c r="P45" s="19">
        <f t="shared" si="5"/>
        <v>297.5</v>
      </c>
      <c r="Q45" s="19">
        <f t="shared" si="5"/>
        <v>332.5</v>
      </c>
      <c r="R45" s="19">
        <f t="shared" si="5"/>
        <v>385</v>
      </c>
      <c r="S45" s="19">
        <f t="shared" si="5"/>
        <v>420</v>
      </c>
      <c r="T45" s="19" t="s">
        <v>87</v>
      </c>
      <c r="U45" s="19"/>
      <c r="V45" s="19"/>
    </row>
    <row r="46" spans="1:22" x14ac:dyDescent="0.25">
      <c r="A46" s="21"/>
      <c r="B46" s="19"/>
      <c r="C46" s="19"/>
      <c r="D46" s="19"/>
      <c r="E46" s="19"/>
      <c r="F46" s="19"/>
      <c r="G46" s="19"/>
      <c r="H46" s="19"/>
      <c r="I46" s="19"/>
      <c r="J46" s="19"/>
      <c r="K46" s="24"/>
      <c r="L46" s="25"/>
      <c r="M46" s="19"/>
      <c r="N46" s="20"/>
      <c r="O46" s="20"/>
      <c r="P46" s="19"/>
      <c r="Q46" s="19"/>
      <c r="R46" s="19"/>
      <c r="S46" s="19"/>
      <c r="T46" s="19"/>
      <c r="U46" s="19"/>
      <c r="V46" s="19"/>
    </row>
    <row r="47" spans="1:22" x14ac:dyDescent="0.25">
      <c r="A47" s="21">
        <v>40</v>
      </c>
      <c r="B47" s="19"/>
      <c r="C47" s="19"/>
      <c r="D47" s="19">
        <v>200</v>
      </c>
      <c r="E47" s="19">
        <v>245</v>
      </c>
      <c r="F47" s="19">
        <v>280</v>
      </c>
      <c r="G47" s="19">
        <v>310</v>
      </c>
      <c r="H47" s="19">
        <v>350</v>
      </c>
      <c r="I47" s="19">
        <v>380</v>
      </c>
      <c r="J47" s="19"/>
      <c r="K47" s="24"/>
      <c r="L47" s="25"/>
      <c r="M47" s="19"/>
      <c r="N47" s="20">
        <v>250</v>
      </c>
      <c r="O47" s="20">
        <v>350</v>
      </c>
      <c r="P47" s="19">
        <v>400</v>
      </c>
      <c r="Q47" s="19">
        <v>450</v>
      </c>
      <c r="R47" s="19">
        <v>500</v>
      </c>
      <c r="S47" s="19">
        <v>550</v>
      </c>
      <c r="T47" s="19"/>
      <c r="U47" s="19"/>
      <c r="V47" s="19"/>
    </row>
    <row r="48" spans="1:22" x14ac:dyDescent="0.25">
      <c r="A48" s="21"/>
      <c r="B48" s="19"/>
      <c r="C48" s="19"/>
      <c r="D48" s="19"/>
      <c r="E48" s="19" t="s">
        <v>19</v>
      </c>
      <c r="F48" s="19"/>
      <c r="G48" s="19"/>
      <c r="H48" s="19"/>
      <c r="I48" s="19"/>
      <c r="J48" s="19"/>
      <c r="K48" s="24"/>
      <c r="L48" s="25"/>
      <c r="M48" s="19">
        <f t="shared" ref="M48:S48" si="6">+M47*0.7</f>
        <v>0</v>
      </c>
      <c r="N48" s="19">
        <f t="shared" si="6"/>
        <v>175</v>
      </c>
      <c r="O48" s="19">
        <f t="shared" si="6"/>
        <v>244.99999999999997</v>
      </c>
      <c r="P48" s="19">
        <f t="shared" si="6"/>
        <v>280</v>
      </c>
      <c r="Q48" s="19">
        <f t="shared" si="6"/>
        <v>315</v>
      </c>
      <c r="R48" s="19">
        <f t="shared" si="6"/>
        <v>350</v>
      </c>
      <c r="S48" s="19">
        <f t="shared" si="6"/>
        <v>385</v>
      </c>
      <c r="T48" s="19" t="s">
        <v>87</v>
      </c>
      <c r="U48" s="19"/>
      <c r="V48" s="19"/>
    </row>
    <row r="54" spans="1:12" x14ac:dyDescent="0.25">
      <c r="A54" t="s">
        <v>114</v>
      </c>
      <c r="J54" t="s">
        <v>115</v>
      </c>
      <c r="L54" t="s">
        <v>116</v>
      </c>
    </row>
    <row r="57" spans="1:12" x14ac:dyDescent="0.25">
      <c r="B57" t="s">
        <v>111</v>
      </c>
      <c r="C57" t="s">
        <v>117</v>
      </c>
      <c r="D57" t="s">
        <v>113</v>
      </c>
      <c r="J57" t="s">
        <v>111</v>
      </c>
      <c r="K57" t="s">
        <v>112</v>
      </c>
      <c r="L57" t="s">
        <v>113</v>
      </c>
    </row>
    <row r="58" spans="1:12" x14ac:dyDescent="0.25">
      <c r="A58">
        <v>0</v>
      </c>
      <c r="H58">
        <v>0</v>
      </c>
      <c r="I58">
        <v>200</v>
      </c>
    </row>
    <row r="59" spans="1:12" x14ac:dyDescent="0.25">
      <c r="A59">
        <v>10</v>
      </c>
      <c r="H59">
        <v>10</v>
      </c>
      <c r="I59">
        <v>230</v>
      </c>
    </row>
    <row r="60" spans="1:12" x14ac:dyDescent="0.25">
      <c r="A60">
        <v>20</v>
      </c>
      <c r="B60">
        <v>20</v>
      </c>
      <c r="D60">
        <v>36</v>
      </c>
      <c r="H60">
        <v>20</v>
      </c>
      <c r="I60">
        <v>200</v>
      </c>
      <c r="J60">
        <v>20</v>
      </c>
    </row>
    <row r="61" spans="1:12" x14ac:dyDescent="0.25">
      <c r="A61">
        <v>30</v>
      </c>
      <c r="B61">
        <v>14</v>
      </c>
      <c r="D61">
        <v>28</v>
      </c>
      <c r="H61">
        <v>30</v>
      </c>
      <c r="I61">
        <v>230</v>
      </c>
      <c r="J61">
        <v>12</v>
      </c>
    </row>
    <row r="62" spans="1:12" x14ac:dyDescent="0.25">
      <c r="A62">
        <v>40</v>
      </c>
      <c r="B62">
        <v>10</v>
      </c>
      <c r="D62">
        <v>20</v>
      </c>
      <c r="H62">
        <v>40</v>
      </c>
      <c r="I62">
        <v>250</v>
      </c>
      <c r="J62">
        <v>10</v>
      </c>
      <c r="L62">
        <v>20</v>
      </c>
    </row>
    <row r="63" spans="1:12" x14ac:dyDescent="0.25">
      <c r="A63">
        <v>50</v>
      </c>
      <c r="B63">
        <v>8</v>
      </c>
      <c r="D63">
        <v>15</v>
      </c>
      <c r="H63">
        <v>50</v>
      </c>
      <c r="I63">
        <v>330</v>
      </c>
      <c r="J63">
        <v>8</v>
      </c>
      <c r="L63">
        <v>15</v>
      </c>
    </row>
    <row r="64" spans="1:12" x14ac:dyDescent="0.25">
      <c r="A64">
        <v>60</v>
      </c>
      <c r="B64">
        <v>6</v>
      </c>
      <c r="D64">
        <v>12</v>
      </c>
      <c r="H64">
        <v>60</v>
      </c>
      <c r="I64">
        <v>400</v>
      </c>
      <c r="J64">
        <v>6</v>
      </c>
      <c r="L64">
        <v>18.5</v>
      </c>
    </row>
    <row r="65" spans="1:12" x14ac:dyDescent="0.25">
      <c r="A65">
        <v>70</v>
      </c>
      <c r="B65">
        <v>4.5</v>
      </c>
      <c r="D65">
        <v>9.5</v>
      </c>
      <c r="H65">
        <v>70</v>
      </c>
      <c r="I65">
        <v>540</v>
      </c>
      <c r="J65">
        <v>4.5</v>
      </c>
      <c r="L65">
        <v>15</v>
      </c>
    </row>
    <row r="66" spans="1:12" x14ac:dyDescent="0.25">
      <c r="A66">
        <v>80</v>
      </c>
      <c r="B66">
        <v>3</v>
      </c>
      <c r="D66">
        <v>7</v>
      </c>
      <c r="H66">
        <v>80</v>
      </c>
      <c r="I66">
        <v>650</v>
      </c>
      <c r="J66">
        <v>3</v>
      </c>
      <c r="L66">
        <v>12</v>
      </c>
    </row>
    <row r="67" spans="1:12" x14ac:dyDescent="0.25">
      <c r="A67">
        <v>90</v>
      </c>
      <c r="B67">
        <v>2</v>
      </c>
      <c r="D67">
        <v>5</v>
      </c>
      <c r="H67">
        <v>90</v>
      </c>
      <c r="J67">
        <v>2</v>
      </c>
      <c r="L67">
        <v>5</v>
      </c>
    </row>
    <row r="68" spans="1:12" x14ac:dyDescent="0.25">
      <c r="A68">
        <v>100</v>
      </c>
      <c r="B68">
        <v>1</v>
      </c>
      <c r="D68">
        <v>3</v>
      </c>
      <c r="H68">
        <v>100</v>
      </c>
      <c r="J68">
        <v>1</v>
      </c>
      <c r="L68">
        <v>2</v>
      </c>
    </row>
    <row r="69" spans="1:12" x14ac:dyDescent="0.25">
      <c r="A69">
        <v>110</v>
      </c>
      <c r="H69">
        <v>110</v>
      </c>
    </row>
    <row r="70" spans="1:12" x14ac:dyDescent="0.25">
      <c r="A70">
        <v>120</v>
      </c>
      <c r="H70">
        <v>120</v>
      </c>
    </row>
    <row r="71" spans="1:12" x14ac:dyDescent="0.25">
      <c r="A71">
        <v>130</v>
      </c>
      <c r="H71">
        <v>130</v>
      </c>
    </row>
    <row r="72" spans="1:12" x14ac:dyDescent="0.25">
      <c r="H72">
        <v>140</v>
      </c>
    </row>
    <row r="73" spans="1:12" x14ac:dyDescent="0.25">
      <c r="H73">
        <v>150</v>
      </c>
    </row>
    <row r="74" spans="1:12" x14ac:dyDescent="0.25">
      <c r="H74">
        <v>160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4299-BF6F-4203-A439-D5C030743EB2}">
  <dimension ref="A3:I5"/>
  <sheetViews>
    <sheetView view="pageLayout" zoomScaleNormal="100" workbookViewId="0">
      <selection activeCell="E10" sqref="E10"/>
    </sheetView>
  </sheetViews>
  <sheetFormatPr defaultRowHeight="15" x14ac:dyDescent="0.25"/>
  <sheetData>
    <row r="3" spans="1:9" x14ac:dyDescent="0.25">
      <c r="A3" t="s">
        <v>123</v>
      </c>
    </row>
    <row r="5" spans="1:9" ht="101.25" customHeight="1" x14ac:dyDescent="0.25">
      <c r="A5" s="30" t="s">
        <v>124</v>
      </c>
      <c r="B5" s="30"/>
      <c r="C5" s="30"/>
      <c r="D5" s="30"/>
      <c r="E5" s="30"/>
      <c r="F5" s="30"/>
      <c r="G5" s="30"/>
      <c r="H5" s="30"/>
      <c r="I5" s="30"/>
    </row>
  </sheetData>
  <mergeCells count="1">
    <mergeCell ref="A5:I5"/>
  </mergeCell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1c9fafd-c058-44f8-b2ce-53cd3afba157" xsi:nil="true"/>
    <lcf76f155ced4ddcb4097134ff3c332f xmlns="3c9f7625-f508-4699-980b-15a788d55c3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CC43999E69B146B21FD7037336070D" ma:contentTypeVersion="19" ma:contentTypeDescription="Create a new document." ma:contentTypeScope="" ma:versionID="da949df7407854784e825555ef0470b6">
  <xsd:schema xmlns:xsd="http://www.w3.org/2001/XMLSchema" xmlns:xs="http://www.w3.org/2001/XMLSchema" xmlns:p="http://schemas.microsoft.com/office/2006/metadata/properties" xmlns:ns2="3c9f7625-f508-4699-980b-15a788d55c32" xmlns:ns3="41c9fafd-c058-44f8-b2ce-53cd3afba157" targetNamespace="http://schemas.microsoft.com/office/2006/metadata/properties" ma:root="true" ma:fieldsID="15818a7baaa05f324ff0ec0f28430cf1" ns2:_="" ns3:_="">
    <xsd:import namespace="3c9f7625-f508-4699-980b-15a788d55c32"/>
    <xsd:import namespace="41c9fafd-c058-44f8-b2ce-53cd3afba1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f7625-f508-4699-980b-15a788d55c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4ce74f-0e62-42f3-b316-7de4230b7f91"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c9fafd-c058-44f8-b2ce-53cd3afba15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b31613a-4f63-4ba1-8f44-053840bd52a9}" ma:internalName="TaxCatchAll" ma:showField="CatchAllData" ma:web="41c9fafd-c058-44f8-b2ce-53cd3afba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24CF1C-E15F-4170-99B6-AB935727F795}">
  <ds:schemaRefs>
    <ds:schemaRef ds:uri="http://schemas.microsoft.com/office/2006/metadata/properties"/>
    <ds:schemaRef ds:uri="http://schemas.microsoft.com/office/infopath/2007/PartnerControls"/>
    <ds:schemaRef ds:uri="41c9fafd-c058-44f8-b2ce-53cd3afba157"/>
    <ds:schemaRef ds:uri="3c9f7625-f508-4699-980b-15a788d55c32"/>
  </ds:schemaRefs>
</ds:datastoreItem>
</file>

<file path=customXml/itemProps2.xml><?xml version="1.0" encoding="utf-8"?>
<ds:datastoreItem xmlns:ds="http://schemas.openxmlformats.org/officeDocument/2006/customXml" ds:itemID="{F4A9A146-E1D4-411F-BBA2-056A85056DA8}">
  <ds:schemaRefs>
    <ds:schemaRef ds:uri="http://schemas.microsoft.com/sharepoint/v3/contenttype/forms"/>
  </ds:schemaRefs>
</ds:datastoreItem>
</file>

<file path=customXml/itemProps3.xml><?xml version="1.0" encoding="utf-8"?>
<ds:datastoreItem xmlns:ds="http://schemas.openxmlformats.org/officeDocument/2006/customXml" ds:itemID="{118099E9-5674-4C43-BF01-17622689F5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9f7625-f508-4699-980b-15a788d55c32"/>
    <ds:schemaRef ds:uri="41c9fafd-c058-44f8-b2ce-53cd3afba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5</vt:i4>
      </vt:variant>
    </vt:vector>
  </HeadingPairs>
  <TitlesOfParts>
    <vt:vector size="5" baseType="lpstr">
      <vt:lpstr>Ark1</vt:lpstr>
      <vt:lpstr>BG-DATA NY</vt:lpstr>
      <vt:lpstr>Diagrammer</vt:lpstr>
      <vt:lpstr>Ark3</vt:lpstr>
      <vt:lpstr>Forsøgsbeskrivelse</vt:lpstr>
    </vt:vector>
  </TitlesOfParts>
  <Company>Byggros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Kjeld</dc:creator>
  <cp:lastModifiedBy>Dan Strand</cp:lastModifiedBy>
  <dcterms:created xsi:type="dcterms:W3CDTF">2016-12-21T10:06:34Z</dcterms:created>
  <dcterms:modified xsi:type="dcterms:W3CDTF">2026-06-01T07:34:39Z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0x010100A8CC43999E69B146B21FD7037336070D</vt:lpwstr>
  </property>
  <property fmtid="{D5CDD505-2E9C-101B-9397-08002B2CF9AE}" pid="3" name="Order">
    <vt:r8>50200</vt:r8>
  </property>
  <property fmtid="{D5CDD505-2E9C-101B-9397-08002B2CF9AE}" pid="4" name="MediaServiceImageTags">
    <vt:lpwstr/>
  </property>
</Properties>
</file>