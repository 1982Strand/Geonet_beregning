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yggrosas.sharepoint.com/sites/Byg/Shared Documents/General/Personlige mapper/BDK/Dan Strand/Beregningsværktøj/"/>
    </mc:Choice>
  </mc:AlternateContent>
  <xr:revisionPtr revIDLastSave="1393" documentId="8_{4EF8FABC-6FC7-4649-BCF6-0DC6883CC097}" xr6:coauthVersionLast="47" xr6:coauthVersionMax="47" xr10:uidLastSave="{9DA30A26-A4CC-436D-8E0F-A9155766CF1E}"/>
  <bookViews>
    <workbookView xWindow="-120" yWindow="-120" windowWidth="29040" windowHeight="15720" tabRatio="790" firstSheet="3" activeTab="7" xr2:uid="{00000000-000D-0000-FFFF-FFFF00000000}"/>
  </bookViews>
  <sheets>
    <sheet name="Claude Log" sheetId="1" state="hidden" r:id="rId1"/>
    <sheet name="1. Forside" sheetId="2" r:id="rId2"/>
    <sheet name="2. Dimensionering" sheetId="3" r:id="rId3"/>
    <sheet name="3. Sådan beregnes det" sheetId="4" r:id="rId4"/>
    <sheet name="4. Korrektionsfaktorer" sheetId="5" r:id="rId5"/>
    <sheet name="5. DB Materialer" sheetId="6" r:id="rId6"/>
    <sheet name="6. DB Geonet" sheetId="7" r:id="rId7"/>
    <sheet name="7. Opslagstabeller" sheetId="8" r:id="rId8"/>
    <sheet name="8. Eksempler" sheetId="9" r:id="rId9"/>
    <sheet name="Ark1"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8" i="4" l="1"/>
  <c r="C28" i="3"/>
  <c r="Q25" i="7" l="1" a="1"/>
  <c r="Q25" i="7" s="1"/>
  <c r="P25" i="7" a="1"/>
  <c r="P25" i="7" s="1"/>
  <c r="O25" i="7" a="1"/>
  <c r="O25" i="7" s="1"/>
  <c r="N25" i="7" a="1"/>
  <c r="N25" i="7" s="1"/>
  <c r="M25" i="7" a="1"/>
  <c r="M25" i="7" s="1"/>
  <c r="L25" i="7" a="1"/>
  <c r="L25" i="7" s="1"/>
  <c r="Q24" i="7" a="1"/>
  <c r="Q24" i="7" s="1"/>
  <c r="P24" i="7" a="1"/>
  <c r="P24" i="7" s="1"/>
  <c r="O24" i="7" a="1"/>
  <c r="O24" i="7" s="1"/>
  <c r="N24" i="7" a="1"/>
  <c r="N24" i="7" s="1"/>
  <c r="M24" i="7" a="1"/>
  <c r="M24" i="7" s="1"/>
  <c r="L24" i="7" a="1"/>
  <c r="L24" i="7" s="1"/>
  <c r="Q23" i="7" a="1"/>
  <c r="Q23" i="7" s="1"/>
  <c r="P23" i="7" a="1"/>
  <c r="P23" i="7" s="1"/>
  <c r="O23" i="7" a="1"/>
  <c r="O23" i="7" s="1"/>
  <c r="N23" i="7" a="1"/>
  <c r="N23" i="7" s="1"/>
  <c r="M23" i="7" a="1"/>
  <c r="M23" i="7" s="1"/>
  <c r="L23" i="7" a="1"/>
  <c r="L23" i="7" s="1"/>
  <c r="Q22" i="7" a="1"/>
  <c r="Q22" i="7" s="1"/>
  <c r="P22" i="7" a="1"/>
  <c r="P22" i="7" s="1"/>
  <c r="O22" i="7" a="1"/>
  <c r="O22" i="7" s="1"/>
  <c r="N22" i="7" a="1"/>
  <c r="N22" i="7" s="1"/>
  <c r="M22" i="7" a="1"/>
  <c r="M22" i="7" s="1"/>
  <c r="L22" i="7" a="1"/>
  <c r="L22" i="7" s="1"/>
  <c r="Q21" i="7" a="1"/>
  <c r="Q21" i="7" s="1"/>
  <c r="P21" i="7" a="1"/>
  <c r="P21" i="7" s="1"/>
  <c r="O21" i="7" a="1"/>
  <c r="O21" i="7" s="1"/>
  <c r="N21" i="7" a="1"/>
  <c r="N21" i="7" s="1"/>
  <c r="M21" i="7"/>
  <c r="M21" i="7" a="1"/>
  <c r="L21" i="7" a="1"/>
  <c r="L21" i="7" s="1"/>
  <c r="Q20" i="7" a="1"/>
  <c r="Q20" i="7" s="1"/>
  <c r="P20" i="7" a="1"/>
  <c r="P20" i="7" s="1"/>
  <c r="O20" i="7" a="1"/>
  <c r="O20" i="7" s="1"/>
  <c r="N20" i="7" a="1"/>
  <c r="N20" i="7" s="1"/>
  <c r="M20" i="7" a="1"/>
  <c r="M20" i="7" s="1"/>
  <c r="L20" i="7" a="1"/>
  <c r="L20" i="7" s="1"/>
  <c r="Q19" i="7" a="1"/>
  <c r="Q19" i="7" s="1"/>
  <c r="P19" i="7" a="1"/>
  <c r="P19" i="7" s="1"/>
  <c r="O19" i="7" a="1"/>
  <c r="O19" i="7" s="1"/>
  <c r="N19" i="7" a="1"/>
  <c r="N19" i="7" s="1"/>
  <c r="M19" i="7"/>
  <c r="M19" i="7" a="1"/>
  <c r="L19" i="7" a="1"/>
  <c r="L19" i="7" s="1"/>
  <c r="Q18" i="7" a="1"/>
  <c r="Q18" i="7" s="1"/>
  <c r="P18" i="7" a="1"/>
  <c r="P18" i="7" s="1"/>
  <c r="O18" i="7" a="1"/>
  <c r="O18" i="7" s="1"/>
  <c r="N18" i="7" a="1"/>
  <c r="N18" i="7" s="1"/>
  <c r="M18" i="7" a="1"/>
  <c r="M18" i="7" s="1"/>
  <c r="L18" i="7" a="1"/>
  <c r="L18" i="7" s="1"/>
  <c r="Q17" i="7" a="1"/>
  <c r="Q17" i="7" s="1"/>
  <c r="P17" i="7" a="1"/>
  <c r="P17" i="7" s="1"/>
  <c r="O17" i="7" a="1"/>
  <c r="O17" i="7" s="1"/>
  <c r="N17" i="7" a="1"/>
  <c r="N17" i="7" s="1"/>
  <c r="M17" i="7" a="1"/>
  <c r="M17" i="7" s="1"/>
  <c r="L17" i="7" a="1"/>
  <c r="L17" i="7" s="1"/>
  <c r="Q16" i="7" a="1"/>
  <c r="Q16" i="7" s="1"/>
  <c r="P16" i="7" a="1"/>
  <c r="P16" i="7" s="1"/>
  <c r="O16" i="7" a="1"/>
  <c r="O16" i="7" s="1"/>
  <c r="N16" i="7" a="1"/>
  <c r="N16" i="7" s="1"/>
  <c r="M16" i="7" a="1"/>
  <c r="M16" i="7" s="1"/>
  <c r="L16" i="7" a="1"/>
  <c r="L16" i="7" s="1"/>
  <c r="Q15" i="7" a="1"/>
  <c r="Q15" i="7" s="1"/>
  <c r="P15" i="7" a="1"/>
  <c r="P15" i="7" s="1"/>
  <c r="O15" i="7" a="1"/>
  <c r="O15" i="7" s="1"/>
  <c r="N15" i="7" a="1"/>
  <c r="N15" i="7" s="1"/>
  <c r="M15" i="7" a="1"/>
  <c r="M15" i="7" s="1"/>
  <c r="L15" i="7" a="1"/>
  <c r="L15" i="7" s="1"/>
  <c r="Q14" i="7" a="1"/>
  <c r="Q14" i="7" s="1"/>
  <c r="P14" i="7" a="1"/>
  <c r="P14" i="7" s="1"/>
  <c r="O14" i="7" a="1"/>
  <c r="O14" i="7" s="1"/>
  <c r="N14" i="7" a="1"/>
  <c r="N14" i="7" s="1"/>
  <c r="M14" i="7" a="1"/>
  <c r="M14" i="7" s="1"/>
  <c r="L14" i="7" a="1"/>
  <c r="L14" i="7" s="1"/>
  <c r="Q13" i="7" a="1"/>
  <c r="Q13" i="7" s="1"/>
  <c r="P13" i="7" a="1"/>
  <c r="P13" i="7" s="1"/>
  <c r="O13" i="7" a="1"/>
  <c r="O13" i="7" s="1"/>
  <c r="N13" i="7" a="1"/>
  <c r="N13" i="7" s="1"/>
  <c r="M13" i="7" a="1"/>
  <c r="M13" i="7" s="1"/>
  <c r="L13" i="7" a="1"/>
  <c r="L13" i="7" s="1"/>
  <c r="Q12" i="7" a="1"/>
  <c r="Q12" i="7" s="1"/>
  <c r="P12" i="7" a="1"/>
  <c r="P12" i="7" s="1"/>
  <c r="O12" i="7" a="1"/>
  <c r="O12" i="7" s="1"/>
  <c r="N12" i="7" a="1"/>
  <c r="N12" i="7" s="1"/>
  <c r="M12" i="7" a="1"/>
  <c r="M12" i="7" s="1"/>
  <c r="L12" i="7" a="1"/>
  <c r="L12" i="7" s="1"/>
  <c r="Q11" i="7" a="1"/>
  <c r="Q11" i="7" s="1"/>
  <c r="P11" i="7" a="1"/>
  <c r="P11" i="7" s="1"/>
  <c r="O11" i="7" a="1"/>
  <c r="O11" i="7" s="1"/>
  <c r="N11" i="7" a="1"/>
  <c r="N11" i="7" s="1"/>
  <c r="M11" i="7" a="1"/>
  <c r="M11" i="7" s="1"/>
  <c r="L11" i="7" a="1"/>
  <c r="L11" i="7" s="1"/>
  <c r="Q10" i="7" a="1"/>
  <c r="Q10" i="7" s="1"/>
  <c r="P10" i="7" a="1"/>
  <c r="P10" i="7" s="1"/>
  <c r="O10" i="7" a="1"/>
  <c r="O10" i="7" s="1"/>
  <c r="N10" i="7" a="1"/>
  <c r="N10" i="7" s="1"/>
  <c r="M10" i="7" a="1"/>
  <c r="M10" i="7" s="1"/>
  <c r="L10" i="7" a="1"/>
  <c r="L10" i="7" s="1"/>
  <c r="Q9" i="7" a="1"/>
  <c r="Q9" i="7" s="1"/>
  <c r="P9" i="7" a="1"/>
  <c r="P9" i="7" s="1"/>
  <c r="O9" i="7" a="1"/>
  <c r="O9" i="7" s="1"/>
  <c r="N9" i="7" a="1"/>
  <c r="N9" i="7" s="1"/>
  <c r="M9" i="7" a="1"/>
  <c r="M9" i="7" s="1"/>
  <c r="L9" i="7" a="1"/>
  <c r="L9" i="7" s="1"/>
  <c r="Q8" i="7" a="1"/>
  <c r="Q8" i="7" s="1"/>
  <c r="P8" i="7" a="1"/>
  <c r="P8" i="7" s="1"/>
  <c r="O8" i="7" a="1"/>
  <c r="O8" i="7" s="1"/>
  <c r="N8" i="7" a="1"/>
  <c r="N8" i="7" s="1"/>
  <c r="M8" i="7" a="1"/>
  <c r="M8" i="7" s="1"/>
  <c r="L8" i="7" a="1"/>
  <c r="L8" i="7" s="1"/>
  <c r="Q7" i="7" a="1"/>
  <c r="Q7" i="7" s="1"/>
  <c r="P7" i="7" a="1"/>
  <c r="P7" i="7" s="1"/>
  <c r="O7" i="7" a="1"/>
  <c r="O7" i="7" s="1"/>
  <c r="N7" i="7" a="1"/>
  <c r="N7" i="7" s="1"/>
  <c r="M7" i="7" a="1"/>
  <c r="M7" i="7" s="1"/>
  <c r="L7" i="7" a="1"/>
  <c r="L7" i="7" s="1"/>
  <c r="Q6" i="7" a="1"/>
  <c r="Q6" i="7" s="1"/>
  <c r="P6" i="7" a="1"/>
  <c r="P6" i="7" s="1"/>
  <c r="O6" i="7" a="1"/>
  <c r="O6" i="7" s="1"/>
  <c r="N6" i="7" a="1"/>
  <c r="N6" i="7" s="1"/>
  <c r="M6" i="7" a="1"/>
  <c r="M6" i="7" s="1"/>
  <c r="L6" i="7" a="1"/>
  <c r="L6" i="7" s="1"/>
  <c r="D55" i="3"/>
  <c r="AI23" i="8" l="1"/>
  <c r="AI22" i="8"/>
  <c r="AI21" i="8"/>
  <c r="AI20" i="8"/>
  <c r="AI19" i="8"/>
  <c r="AI18" i="8"/>
  <c r="AI17" i="8"/>
  <c r="AI16" i="8"/>
  <c r="AI15" i="8"/>
  <c r="AI14" i="8"/>
  <c r="AI13" i="8"/>
  <c r="AI12" i="8"/>
  <c r="AI11" i="8"/>
  <c r="AI10" i="8"/>
  <c r="AI9" i="8"/>
  <c r="AI8" i="8"/>
  <c r="AI7" i="8"/>
  <c r="AI6" i="8"/>
  <c r="E32" i="5"/>
  <c r="E31" i="5"/>
  <c r="E30" i="5"/>
  <c r="E29" i="5"/>
  <c r="E28" i="5"/>
  <c r="E27" i="5"/>
  <c r="E26" i="5"/>
  <c r="E25" i="5"/>
  <c r="E24" i="5"/>
  <c r="E23" i="5"/>
  <c r="E22" i="5"/>
  <c r="E21" i="5"/>
  <c r="E20" i="5"/>
  <c r="E19" i="5"/>
  <c r="E18" i="5"/>
  <c r="E17" i="5"/>
  <c r="E16" i="5"/>
  <c r="E15" i="5"/>
  <c r="E14" i="5"/>
  <c r="E9" i="5"/>
  <c r="E7" i="5"/>
  <c r="D58" i="4"/>
  <c r="C58" i="4"/>
  <c r="D57" i="4"/>
  <c r="C57" i="4"/>
  <c r="D56" i="4"/>
  <c r="C56" i="4"/>
  <c r="B53" i="4"/>
  <c r="C98" i="3"/>
  <c r="C97" i="3"/>
  <c r="C96" i="3"/>
  <c r="C95" i="3"/>
  <c r="C92" i="3"/>
  <c r="G76" i="3"/>
  <c r="E58" i="4" s="1"/>
  <c r="E76" i="3"/>
  <c r="D76" i="3"/>
  <c r="C76" i="3"/>
  <c r="D75" i="3"/>
  <c r="C75" i="3"/>
  <c r="D74" i="3"/>
  <c r="C74" i="3"/>
  <c r="B69" i="3"/>
  <c r="C63" i="3"/>
  <c r="D52" i="3"/>
  <c r="B51" i="3"/>
  <c r="C37" i="3"/>
  <c r="C39" i="3" s="1"/>
  <c r="D26" i="3"/>
  <c r="C26" i="3"/>
  <c r="C61" i="3" s="1"/>
  <c r="F25" i="3"/>
  <c r="H76" i="3" s="1"/>
  <c r="E25" i="3"/>
  <c r="F24" i="3"/>
  <c r="H75" i="3" s="1"/>
  <c r="E24" i="3"/>
  <c r="F23" i="3"/>
  <c r="E23" i="3"/>
  <c r="C17" i="3"/>
  <c r="C10" i="3"/>
  <c r="C11" i="3" s="1"/>
  <c r="N8" i="3"/>
  <c r="AN21" i="8" a="1"/>
  <c r="AK10" i="8" a="1"/>
  <c r="AX6" i="8" a="1"/>
  <c r="AT17" i="8" a="1"/>
  <c r="AJ8" i="8" a="1"/>
  <c r="AL22" i="8" a="1"/>
  <c r="BA8" i="8" a="1"/>
  <c r="AV19" i="8" a="1"/>
  <c r="AK21" i="8" a="1"/>
  <c r="AZ12" i="8" a="1"/>
  <c r="AW19" i="8" a="1"/>
  <c r="AR12" i="8" a="1"/>
  <c r="AS17" i="8" a="1"/>
  <c r="AL21" i="8" a="1"/>
  <c r="AQ8" i="8" a="1"/>
  <c r="AZ21" i="8" a="1"/>
  <c r="AU16" i="8" a="1"/>
  <c r="AX20" i="8" a="1"/>
  <c r="AX23" i="8" a="1"/>
  <c r="AU6" i="8" a="1"/>
  <c r="AL20" i="8" a="1"/>
  <c r="AR10" i="8" a="1"/>
  <c r="AK23" i="8" a="1"/>
  <c r="AP7" i="8" a="1"/>
  <c r="AO8" i="8" a="1"/>
  <c r="AL18" i="8" a="1"/>
  <c r="BA17" i="8" a="1"/>
  <c r="AV13" i="8" a="1"/>
  <c r="AV18" i="8" a="1"/>
  <c r="BA19" i="8" a="1"/>
  <c r="AS15" i="8" a="1"/>
  <c r="AT18" i="8" a="1"/>
  <c r="AU19" i="8" a="1"/>
  <c r="AU20" i="8" a="1"/>
  <c r="AX19" i="8" a="1"/>
  <c r="AW9" i="8" a="1"/>
  <c r="AW6" i="8" a="1"/>
  <c r="AU15" i="8" a="1"/>
  <c r="BA14" i="8" a="1"/>
  <c r="AO10" i="8" a="1"/>
  <c r="AO23" i="8" a="1"/>
  <c r="AZ18" i="8" a="1"/>
  <c r="AT9" i="8" a="1"/>
  <c r="AQ23" i="8" a="1"/>
  <c r="AP21" i="8" a="1"/>
  <c r="AP15" i="8" a="1"/>
  <c r="AQ20" i="8" a="1"/>
  <c r="AQ14" i="8" a="1"/>
  <c r="AN18" i="8" a="1"/>
  <c r="AS10" i="8" a="1"/>
  <c r="AO18" i="8" a="1"/>
  <c r="AO14" i="8" a="1"/>
  <c r="AT10" i="8" a="1"/>
  <c r="AX15" i="8" a="1"/>
  <c r="AS7" i="8" a="1"/>
  <c r="AS23" i="8" a="1"/>
  <c r="AK12" i="8" a="1"/>
  <c r="AU13" i="8" a="1"/>
  <c r="AR15" i="8" a="1"/>
  <c r="AN13" i="8" a="1"/>
  <c r="AJ10" i="8" a="1"/>
  <c r="AO9" i="8" a="1"/>
  <c r="AY10" i="8" a="1"/>
  <c r="AV11" i="8" a="1"/>
  <c r="AR17" i="8" a="1"/>
  <c r="AM12" i="8" a="1"/>
  <c r="AR18" i="8" a="1"/>
  <c r="AP16" i="8" a="1"/>
  <c r="AS16" i="8" a="1"/>
  <c r="AY14" i="8" a="1"/>
  <c r="AU14" i="8" a="1"/>
  <c r="AP18" i="8" a="1"/>
  <c r="AR21" i="8" a="1"/>
  <c r="AY21" i="8" a="1"/>
  <c r="AS11" i="8" a="1"/>
  <c r="AT23" i="8" a="1"/>
  <c r="AK14" i="8" a="1"/>
  <c r="AS8" i="8" a="1"/>
  <c r="AV17" i="8" a="1"/>
  <c r="AY23" i="8" a="1"/>
  <c r="AR7" i="8" a="1"/>
  <c r="AP11" i="8" a="1"/>
  <c r="BA21" i="8" a="1"/>
  <c r="AM13" i="8" a="1"/>
  <c r="AW21" i="8" a="1"/>
  <c r="AY11" i="8" a="1"/>
  <c r="AN12" i="8" a="1"/>
  <c r="AL16" i="8" a="1"/>
  <c r="AU18" i="8" a="1"/>
  <c r="BA6" i="8" a="1"/>
  <c r="AY17" i="8" a="1"/>
  <c r="AZ9" i="8" a="1"/>
  <c r="AJ23" i="8" a="1"/>
  <c r="AJ15" i="8" a="1"/>
  <c r="AN8" i="8" a="1"/>
  <c r="AW8" i="8" a="1"/>
  <c r="AO6" i="8" a="1"/>
  <c r="AS14" i="8" a="1"/>
  <c r="AY12" i="8" a="1"/>
  <c r="AQ9" i="8" a="1"/>
  <c r="AU22" i="8" a="1"/>
  <c r="AR6" i="8" a="1"/>
  <c r="AV16" i="8" a="1"/>
  <c r="AO13" i="8" a="1"/>
  <c r="AS9" i="8" a="1"/>
  <c r="AW22" i="8" a="1"/>
  <c r="AS6" i="8" a="1"/>
  <c r="AU23" i="8" a="1"/>
  <c r="AS22" i="8" a="1"/>
  <c r="AN14" i="8" a="1"/>
  <c r="AK8" i="8" a="1"/>
  <c r="AW17" i="8" a="1"/>
  <c r="AQ11" i="8" a="1"/>
  <c r="AZ17" i="8" a="1"/>
  <c r="AT13" i="8" a="1"/>
  <c r="AV23" i="8" a="1"/>
  <c r="AM18" i="8" a="1"/>
  <c r="AX10" i="8" a="1"/>
  <c r="AZ6" i="8" a="1"/>
  <c r="AV15" i="8" a="1"/>
  <c r="AZ13" i="8" a="1"/>
  <c r="AU17" i="8" a="1"/>
  <c r="AU9" i="8" a="1"/>
  <c r="AO20" i="8" a="1"/>
  <c r="AT19" i="8" a="1"/>
  <c r="AP20" i="8" a="1"/>
  <c r="AZ7" i="8" a="1"/>
  <c r="AT6" i="8" a="1"/>
  <c r="AJ19" i="8" a="1"/>
  <c r="AJ11" i="8" a="1"/>
  <c r="AZ15" i="8" a="1"/>
  <c r="BA22" i="8" a="1"/>
  <c r="AT21" i="8" a="1"/>
  <c r="AY19" i="8" a="1"/>
  <c r="AS13" i="8" a="1"/>
  <c r="AV10" i="8" a="1"/>
  <c r="AZ23" i="8" a="1"/>
  <c r="AL19" i="8" a="1"/>
  <c r="AK18" i="8" a="1"/>
  <c r="AN16" i="8" a="1"/>
  <c r="AM15" i="8" a="1"/>
  <c r="AL7" i="8" a="1"/>
  <c r="AT12" i="8" a="1"/>
  <c r="AR14" i="8" a="1"/>
  <c r="AO12" i="8" a="1"/>
  <c r="AO21" i="8" a="1"/>
  <c r="AZ19" i="8" a="1"/>
  <c r="AY7" i="8" a="1"/>
  <c r="AN20" i="8" a="1"/>
  <c r="AQ6" i="8" a="1"/>
  <c r="AQ10" i="8" a="1"/>
  <c r="AN11" i="8" a="1"/>
  <c r="AY6" i="8" a="1"/>
  <c r="AX14" i="8" a="1"/>
  <c r="AJ9" i="8" a="1"/>
  <c r="AZ11" i="8" a="1"/>
  <c r="AW10" i="8" a="1"/>
  <c r="AO7" i="8" a="1"/>
  <c r="AQ21" i="8" a="1"/>
  <c r="AZ10" i="8" a="1"/>
  <c r="AX18" i="8" a="1"/>
  <c r="BA7" i="8" a="1"/>
  <c r="AW13" i="8" a="1"/>
  <c r="AN9" i="8" a="1"/>
  <c r="AV22" i="8" a="1"/>
  <c r="AW18" i="8" a="1"/>
  <c r="AR13" i="8" a="1"/>
  <c r="AS19" i="8" a="1"/>
  <c r="AQ19" i="8" a="1"/>
  <c r="AX7" i="8" a="1"/>
  <c r="AM7" i="8" a="1"/>
  <c r="AW15" i="8" a="1"/>
  <c r="AJ22" i="8" a="1"/>
  <c r="AN6" i="8" a="1"/>
  <c r="AJ20" i="8" a="1"/>
  <c r="AL13" i="8" a="1"/>
  <c r="AU7" i="8" a="1"/>
  <c r="AZ8" i="8" a="1"/>
  <c r="AM8" i="8" a="1"/>
  <c r="AV20" i="8" a="1"/>
  <c r="AQ18" i="8" a="1"/>
  <c r="BA16" i="8" a="1"/>
  <c r="AN19" i="8" a="1"/>
  <c r="AW23" i="8" a="1"/>
  <c r="AS18" i="8" a="1"/>
  <c r="AY16" i="8" a="1"/>
  <c r="AQ22" i="8" a="1"/>
  <c r="BA12" i="8" a="1"/>
  <c r="AL10" i="8" a="1"/>
  <c r="AW11" i="8" a="1"/>
  <c r="AT20" i="8" a="1"/>
  <c r="AQ17" i="8" a="1"/>
  <c r="AK11" i="8" a="1"/>
  <c r="AL12" i="8" a="1"/>
  <c r="AJ13" i="8" a="1"/>
  <c r="AP8" i="8" a="1"/>
  <c r="AY9" i="8" a="1"/>
  <c r="AK17" i="8" a="1"/>
  <c r="BA23" i="8" a="1"/>
  <c r="AJ18" i="8" a="1"/>
  <c r="AN17" i="8" a="1"/>
  <c r="AX13" i="8" a="1"/>
  <c r="AT22" i="8" a="1"/>
  <c r="AM9" i="8" a="1"/>
  <c r="AP17" i="8" a="1"/>
  <c r="AO22" i="8" a="1"/>
  <c r="AQ13" i="8" a="1"/>
  <c r="AL15" i="8" a="1"/>
  <c r="AR16" i="8" a="1"/>
  <c r="AM22" i="8" a="1"/>
  <c r="AJ14" i="8" a="1"/>
  <c r="AR9" i="8" a="1"/>
  <c r="BA13" i="8" a="1"/>
  <c r="AL6" i="8" a="1"/>
  <c r="BA9" i="8" a="1"/>
  <c r="BA15" i="8" a="1"/>
  <c r="AP6" i="8" a="1"/>
  <c r="AL8" i="8" a="1"/>
  <c r="AX16" i="8" a="1"/>
  <c r="AR22" i="8" a="1"/>
  <c r="AM21" i="8" a="1"/>
  <c r="AT8" i="8" a="1"/>
  <c r="AK9" i="8" a="1"/>
  <c r="AO17" i="8" a="1"/>
  <c r="AL14" i="8" a="1"/>
  <c r="AX12" i="8" a="1"/>
  <c r="AM17" i="8" a="1"/>
  <c r="AP13" i="8" a="1"/>
  <c r="AM6" i="8" a="1"/>
  <c r="BA18" i="8" a="1"/>
  <c r="AP9" i="8" a="1"/>
  <c r="AW14" i="8" a="1"/>
  <c r="BA10" i="8" a="1"/>
  <c r="AJ12" i="8" a="1"/>
  <c r="AY22" i="8" a="1"/>
  <c r="AM14" i="8" a="1"/>
  <c r="AX9" i="8" a="1"/>
  <c r="AR23" i="8" a="1"/>
  <c r="AR11" i="8" a="1"/>
  <c r="AK16" i="8" a="1"/>
  <c r="AY18" i="8" a="1"/>
  <c r="AL9" i="8" a="1"/>
  <c r="AT16" i="8" a="1"/>
  <c r="AT7" i="8" a="1"/>
  <c r="AO15" i="8" a="1"/>
  <c r="AM23" i="8" a="1"/>
  <c r="AQ16" i="8" a="1"/>
  <c r="AU10" i="8" a="1"/>
  <c r="AO19" i="8" a="1"/>
  <c r="AU8" i="8" a="1"/>
  <c r="AK13" i="8" a="1"/>
  <c r="AO16" i="8" a="1"/>
  <c r="BA11" i="8" a="1"/>
  <c r="AU12" i="8" a="1"/>
  <c r="AP12" i="8" a="1"/>
  <c r="AY13" i="8" a="1"/>
  <c r="AQ15" i="8" a="1"/>
  <c r="AM11" i="8" a="1"/>
  <c r="AX17" i="8" a="1"/>
  <c r="AT11" i="8" a="1"/>
  <c r="AS20" i="8" a="1"/>
  <c r="AP19" i="8" a="1"/>
  <c r="AJ16" i="8" a="1"/>
  <c r="AK22" i="8" a="1"/>
  <c r="AX8" i="8" a="1"/>
  <c r="AL11" i="8" a="1"/>
  <c r="AK20" i="8" a="1"/>
  <c r="AP10" i="8" a="1"/>
  <c r="AT14" i="8" a="1"/>
  <c r="AP22" i="8" a="1"/>
  <c r="AY15" i="8" a="1"/>
  <c r="AS12" i="8" a="1"/>
  <c r="AW20" i="8" a="1"/>
  <c r="AZ22" i="8" a="1"/>
  <c r="AV7" i="8" a="1"/>
  <c r="AM16" i="8" a="1"/>
  <c r="AJ7" i="8" a="1"/>
  <c r="AV8" i="8" a="1"/>
  <c r="AR19" i="8" a="1"/>
  <c r="AX11" i="8" a="1"/>
  <c r="AX21" i="8" a="1"/>
  <c r="AK15" i="8" a="1"/>
  <c r="AP23" i="8" a="1"/>
  <c r="AN22" i="8" a="1"/>
  <c r="AV9" i="8" a="1"/>
  <c r="AY20" i="8" a="1"/>
  <c r="AW16" i="8" a="1"/>
  <c r="AV12" i="8" a="1"/>
  <c r="AV21" i="8" a="1"/>
  <c r="AU11" i="8" a="1"/>
  <c r="AM10" i="8" a="1"/>
  <c r="AZ20" i="8" a="1"/>
  <c r="AN23" i="8" a="1"/>
  <c r="AN10" i="8" a="1"/>
  <c r="AL17" i="8" a="1"/>
  <c r="AJ6" i="8" a="1"/>
  <c r="AN7" i="8" a="1"/>
  <c r="AJ21" i="8" a="1"/>
  <c r="AV14" i="8" a="1"/>
  <c r="AN15" i="8" a="1"/>
  <c r="AR20" i="8" a="1"/>
  <c r="AO11" i="8" a="1"/>
  <c r="AY8" i="8" a="1"/>
  <c r="AX22" i="8" a="1"/>
  <c r="AQ12" i="8" a="1"/>
  <c r="AM19" i="8" a="1"/>
  <c r="AU21" i="8" a="1"/>
  <c r="AW7" i="8" a="1"/>
  <c r="AJ17" i="8" a="1"/>
  <c r="AL23" i="8" a="1"/>
  <c r="AM20" i="8" a="1"/>
  <c r="AV6" i="8" a="1"/>
  <c r="AS21" i="8" a="1"/>
  <c r="AK7" i="8" a="1"/>
  <c r="AK6" i="8" a="1"/>
  <c r="AZ14" i="8" a="1"/>
  <c r="AK19" i="8" a="1"/>
  <c r="AQ7" i="8" a="1"/>
  <c r="AT15" i="8" a="1"/>
  <c r="BA20" i="8" a="1"/>
  <c r="AP14" i="8" a="1"/>
  <c r="AR8" i="8" a="1"/>
  <c r="AW12" i="8" a="1"/>
  <c r="AZ16" i="8" a="1"/>
  <c r="D77" i="3" l="1"/>
  <c r="N36" i="3"/>
  <c r="C52" i="3"/>
  <c r="C11" i="4"/>
  <c r="N10" i="3"/>
  <c r="AL6" i="8"/>
  <c r="E10" i="8" s="1"/>
  <c r="AR6" i="8"/>
  <c r="K10" i="8" s="1"/>
  <c r="AX6" i="8"/>
  <c r="Q10" i="8" s="1"/>
  <c r="AK8" i="8"/>
  <c r="D12" i="8" s="1"/>
  <c r="AQ8" i="8"/>
  <c r="J12" i="8" s="1"/>
  <c r="AW8" i="8"/>
  <c r="P12" i="8" s="1"/>
  <c r="AM10" i="8"/>
  <c r="F14" i="8" s="1"/>
  <c r="AS10" i="8"/>
  <c r="L14" i="8" s="1"/>
  <c r="AY10" i="8"/>
  <c r="R14" i="8" s="1"/>
  <c r="AL12" i="8"/>
  <c r="E16" i="8" s="1"/>
  <c r="AR12" i="8"/>
  <c r="K16" i="8" s="1"/>
  <c r="AX12" i="8"/>
  <c r="Q16" i="8" s="1"/>
  <c r="AK14" i="8"/>
  <c r="D18" i="8" s="1"/>
  <c r="AQ14" i="8"/>
  <c r="J18" i="8" s="1"/>
  <c r="AW14" i="8"/>
  <c r="P18" i="8" s="1"/>
  <c r="AJ16" i="8"/>
  <c r="C20" i="8" s="1"/>
  <c r="AP16" i="8"/>
  <c r="I20" i="8" s="1"/>
  <c r="AV16" i="8"/>
  <c r="O20" i="8" s="1"/>
  <c r="AO18" i="8"/>
  <c r="H22" i="8" s="1"/>
  <c r="AU18" i="8"/>
  <c r="N22" i="8" s="1"/>
  <c r="BA18" i="8"/>
  <c r="T22" i="8" s="1"/>
  <c r="AN20" i="8"/>
  <c r="G24" i="8" s="1"/>
  <c r="AT20" i="8"/>
  <c r="M24" i="8" s="1"/>
  <c r="AZ20" i="8"/>
  <c r="S24" i="8" s="1"/>
  <c r="AM22" i="8"/>
  <c r="F26" i="8" s="1"/>
  <c r="AS22" i="8"/>
  <c r="L26" i="8" s="1"/>
  <c r="AY22" i="8"/>
  <c r="R26" i="8" s="1"/>
  <c r="AL7" i="8"/>
  <c r="E11" i="8" s="1"/>
  <c r="AR7" i="8"/>
  <c r="K11" i="8" s="1"/>
  <c r="AX7" i="8"/>
  <c r="Q11" i="8" s="1"/>
  <c r="AK9" i="8"/>
  <c r="D13" i="8" s="1"/>
  <c r="AQ9" i="8"/>
  <c r="J13" i="8" s="1"/>
  <c r="AW9" i="8"/>
  <c r="P13" i="8" s="1"/>
  <c r="AJ11" i="8"/>
  <c r="C15" i="8" s="1"/>
  <c r="AP11" i="8"/>
  <c r="I15" i="8" s="1"/>
  <c r="AV11" i="8"/>
  <c r="O15" i="8" s="1"/>
  <c r="AO13" i="8"/>
  <c r="H17" i="8" s="1"/>
  <c r="AU13" i="8"/>
  <c r="N17" i="8" s="1"/>
  <c r="BA13" i="8"/>
  <c r="T17" i="8" s="1"/>
  <c r="AN15" i="8"/>
  <c r="G19" i="8" s="1"/>
  <c r="AT15" i="8"/>
  <c r="M19" i="8" s="1"/>
  <c r="AZ15" i="8"/>
  <c r="S19" i="8" s="1"/>
  <c r="AM17" i="8"/>
  <c r="F21" i="8" s="1"/>
  <c r="AS17" i="8"/>
  <c r="L21" i="8" s="1"/>
  <c r="AY17" i="8"/>
  <c r="R21" i="8" s="1"/>
  <c r="AL19" i="8"/>
  <c r="E23" i="8" s="1"/>
  <c r="AR19" i="8"/>
  <c r="K23" i="8" s="1"/>
  <c r="AX19" i="8"/>
  <c r="Q23" i="8" s="1"/>
  <c r="AK21" i="8"/>
  <c r="D25" i="8" s="1"/>
  <c r="AQ21" i="8"/>
  <c r="J25" i="8" s="1"/>
  <c r="AW21" i="8"/>
  <c r="P25" i="8" s="1"/>
  <c r="AJ23" i="8"/>
  <c r="C27" i="8" s="1"/>
  <c r="AP23" i="8"/>
  <c r="I27" i="8" s="1"/>
  <c r="AV23" i="8"/>
  <c r="O27" i="8" s="1"/>
  <c r="AM6" i="8"/>
  <c r="F10" i="8" s="1"/>
  <c r="AS6" i="8"/>
  <c r="L10" i="8" s="1"/>
  <c r="AY6" i="8"/>
  <c r="R10" i="8" s="1"/>
  <c r="AL8" i="8"/>
  <c r="E12" i="8" s="1"/>
  <c r="AR8" i="8"/>
  <c r="K12" i="8" s="1"/>
  <c r="AX8" i="8"/>
  <c r="Q12" i="8" s="1"/>
  <c r="AN10" i="8"/>
  <c r="G14" i="8" s="1"/>
  <c r="AT10" i="8"/>
  <c r="M14" i="8" s="1"/>
  <c r="AZ10" i="8"/>
  <c r="S14" i="8" s="1"/>
  <c r="AM12" i="8"/>
  <c r="F16" i="8" s="1"/>
  <c r="AS12" i="8"/>
  <c r="L16" i="8" s="1"/>
  <c r="AY12" i="8"/>
  <c r="R16" i="8" s="1"/>
  <c r="AL14" i="8"/>
  <c r="E18" i="8" s="1"/>
  <c r="AR14" i="8"/>
  <c r="K18" i="8" s="1"/>
  <c r="AX14" i="8"/>
  <c r="Q18" i="8" s="1"/>
  <c r="AK16" i="8"/>
  <c r="D20" i="8" s="1"/>
  <c r="AQ16" i="8"/>
  <c r="J20" i="8" s="1"/>
  <c r="AW16" i="8"/>
  <c r="P20" i="8" s="1"/>
  <c r="AJ18" i="8"/>
  <c r="C22" i="8" s="1"/>
  <c r="AP18" i="8"/>
  <c r="I22" i="8" s="1"/>
  <c r="AV18" i="8"/>
  <c r="O22" i="8" s="1"/>
  <c r="AO20" i="8"/>
  <c r="H24" i="8" s="1"/>
  <c r="AU20" i="8"/>
  <c r="N24" i="8" s="1"/>
  <c r="BA20" i="8"/>
  <c r="T24" i="8" s="1"/>
  <c r="AN22" i="8"/>
  <c r="G26" i="8" s="1"/>
  <c r="AT22" i="8"/>
  <c r="M26" i="8" s="1"/>
  <c r="AZ22" i="8"/>
  <c r="S26" i="8" s="1"/>
  <c r="AM7" i="8"/>
  <c r="F11" i="8" s="1"/>
  <c r="AS7" i="8"/>
  <c r="L11" i="8" s="1"/>
  <c r="AY7" i="8"/>
  <c r="R11" i="8" s="1"/>
  <c r="AL9" i="8"/>
  <c r="E13" i="8" s="1"/>
  <c r="AR9" i="8"/>
  <c r="K13" i="8" s="1"/>
  <c r="AX9" i="8"/>
  <c r="Q13" i="8" s="1"/>
  <c r="AK11" i="8"/>
  <c r="D15" i="8" s="1"/>
  <c r="AQ11" i="8"/>
  <c r="J15" i="8" s="1"/>
  <c r="AW11" i="8"/>
  <c r="P15" i="8" s="1"/>
  <c r="AJ13" i="8"/>
  <c r="C17" i="8" s="1"/>
  <c r="AP13" i="8"/>
  <c r="I17" i="8" s="1"/>
  <c r="AV13" i="8"/>
  <c r="O17" i="8" s="1"/>
  <c r="AO15" i="8"/>
  <c r="H19" i="8" s="1"/>
  <c r="AU15" i="8"/>
  <c r="N19" i="8" s="1"/>
  <c r="BA15" i="8"/>
  <c r="T19" i="8" s="1"/>
  <c r="AN17" i="8"/>
  <c r="G21" i="8" s="1"/>
  <c r="AT17" i="8"/>
  <c r="M21" i="8" s="1"/>
  <c r="AZ17" i="8"/>
  <c r="S21" i="8" s="1"/>
  <c r="AM19" i="8"/>
  <c r="F23" i="8" s="1"/>
  <c r="AS19" i="8"/>
  <c r="L23" i="8" s="1"/>
  <c r="AY19" i="8"/>
  <c r="R23" i="8" s="1"/>
  <c r="AL21" i="8"/>
  <c r="E25" i="8" s="1"/>
  <c r="AR21" i="8"/>
  <c r="K25" i="8" s="1"/>
  <c r="AX21" i="8"/>
  <c r="Q25" i="8" s="1"/>
  <c r="AK23" i="8"/>
  <c r="D27" i="8" s="1"/>
  <c r="AQ23" i="8"/>
  <c r="J27" i="8" s="1"/>
  <c r="AW23" i="8"/>
  <c r="P27" i="8" s="1"/>
  <c r="AN6" i="8"/>
  <c r="G10" i="8" s="1"/>
  <c r="AT6" i="8"/>
  <c r="M10" i="8" s="1"/>
  <c r="AZ6" i="8"/>
  <c r="S10" i="8" s="1"/>
  <c r="AM8" i="8"/>
  <c r="F12" i="8" s="1"/>
  <c r="AS8" i="8"/>
  <c r="L12" i="8" s="1"/>
  <c r="AY8" i="8"/>
  <c r="R12" i="8" s="1"/>
  <c r="AO10" i="8"/>
  <c r="H14" i="8" s="1"/>
  <c r="AU10" i="8"/>
  <c r="N14" i="8" s="1"/>
  <c r="BA10" i="8"/>
  <c r="T14" i="8" s="1"/>
  <c r="AN12" i="8"/>
  <c r="G16" i="8" s="1"/>
  <c r="AT12" i="8"/>
  <c r="M16" i="8" s="1"/>
  <c r="AZ12" i="8"/>
  <c r="S16" i="8" s="1"/>
  <c r="AM14" i="8"/>
  <c r="F18" i="8" s="1"/>
  <c r="AS14" i="8"/>
  <c r="L18" i="8" s="1"/>
  <c r="AY14" i="8"/>
  <c r="R18" i="8" s="1"/>
  <c r="AL16" i="8"/>
  <c r="E20" i="8" s="1"/>
  <c r="AR16" i="8"/>
  <c r="K20" i="8" s="1"/>
  <c r="AX16" i="8"/>
  <c r="Q20" i="8" s="1"/>
  <c r="AK18" i="8"/>
  <c r="D22" i="8" s="1"/>
  <c r="AQ18" i="8"/>
  <c r="J22" i="8" s="1"/>
  <c r="AW18" i="8"/>
  <c r="P22" i="8" s="1"/>
  <c r="AJ20" i="8"/>
  <c r="C24" i="8" s="1"/>
  <c r="AP20" i="8"/>
  <c r="I24" i="8" s="1"/>
  <c r="AV20" i="8"/>
  <c r="O24" i="8" s="1"/>
  <c r="AO22" i="8"/>
  <c r="H26" i="8" s="1"/>
  <c r="AU22" i="8"/>
  <c r="N26" i="8" s="1"/>
  <c r="BA22" i="8"/>
  <c r="T26" i="8" s="1"/>
  <c r="AN7" i="8"/>
  <c r="G11" i="8" s="1"/>
  <c r="AT7" i="8"/>
  <c r="M11" i="8" s="1"/>
  <c r="AZ7" i="8"/>
  <c r="S11" i="8" s="1"/>
  <c r="AM9" i="8"/>
  <c r="F13" i="8" s="1"/>
  <c r="AS9" i="8"/>
  <c r="L13" i="8" s="1"/>
  <c r="AY9" i="8"/>
  <c r="R13" i="8" s="1"/>
  <c r="AL11" i="8"/>
  <c r="E15" i="8" s="1"/>
  <c r="AR11" i="8"/>
  <c r="K15" i="8" s="1"/>
  <c r="AX11" i="8"/>
  <c r="Q15" i="8" s="1"/>
  <c r="AK13" i="8"/>
  <c r="D17" i="8" s="1"/>
  <c r="AQ13" i="8"/>
  <c r="J17" i="8" s="1"/>
  <c r="AW13" i="8"/>
  <c r="P17" i="8" s="1"/>
  <c r="AJ15" i="8"/>
  <c r="C19" i="8" s="1"/>
  <c r="AP15" i="8"/>
  <c r="I19" i="8" s="1"/>
  <c r="AV15" i="8"/>
  <c r="O19" i="8" s="1"/>
  <c r="AO17" i="8"/>
  <c r="H21" i="8" s="1"/>
  <c r="AU17" i="8"/>
  <c r="N21" i="8" s="1"/>
  <c r="BA17" i="8"/>
  <c r="T21" i="8" s="1"/>
  <c r="AN19" i="8"/>
  <c r="G23" i="8" s="1"/>
  <c r="AT19" i="8"/>
  <c r="M23" i="8" s="1"/>
  <c r="AZ19" i="8"/>
  <c r="S23" i="8" s="1"/>
  <c r="AM21" i="8"/>
  <c r="F25" i="8" s="1"/>
  <c r="AS21" i="8"/>
  <c r="L25" i="8" s="1"/>
  <c r="AY21" i="8"/>
  <c r="R25" i="8" s="1"/>
  <c r="AL23" i="8"/>
  <c r="E27" i="8" s="1"/>
  <c r="AR23" i="8"/>
  <c r="K27" i="8" s="1"/>
  <c r="AX23" i="8"/>
  <c r="Q27" i="8" s="1"/>
  <c r="AO6" i="8"/>
  <c r="H10" i="8" s="1"/>
  <c r="AU6" i="8"/>
  <c r="N10" i="8" s="1"/>
  <c r="BA6" i="8"/>
  <c r="T10" i="8" s="1"/>
  <c r="AN8" i="8"/>
  <c r="G12" i="8" s="1"/>
  <c r="AT8" i="8"/>
  <c r="M12" i="8" s="1"/>
  <c r="AZ8" i="8"/>
  <c r="S12" i="8" s="1"/>
  <c r="AJ10" i="8"/>
  <c r="C14" i="8" s="1"/>
  <c r="AP10" i="8"/>
  <c r="I14" i="8" s="1"/>
  <c r="AV10" i="8"/>
  <c r="O14" i="8" s="1"/>
  <c r="AO12" i="8"/>
  <c r="H16" i="8" s="1"/>
  <c r="AU12" i="8"/>
  <c r="N16" i="8" s="1"/>
  <c r="BA12" i="8"/>
  <c r="T16" i="8" s="1"/>
  <c r="AN14" i="8"/>
  <c r="G18" i="8" s="1"/>
  <c r="AT14" i="8"/>
  <c r="M18" i="8" s="1"/>
  <c r="AZ14" i="8"/>
  <c r="S18" i="8" s="1"/>
  <c r="AM16" i="8"/>
  <c r="F20" i="8" s="1"/>
  <c r="AS16" i="8"/>
  <c r="L20" i="8" s="1"/>
  <c r="AY16" i="8"/>
  <c r="R20" i="8" s="1"/>
  <c r="AL18" i="8"/>
  <c r="E22" i="8" s="1"/>
  <c r="AR18" i="8"/>
  <c r="K22" i="8" s="1"/>
  <c r="AX18" i="8"/>
  <c r="Q22" i="8" s="1"/>
  <c r="AK20" i="8"/>
  <c r="D24" i="8" s="1"/>
  <c r="AQ20" i="8"/>
  <c r="J24" i="8" s="1"/>
  <c r="AW20" i="8"/>
  <c r="P24" i="8" s="1"/>
  <c r="AJ22" i="8"/>
  <c r="C26" i="8" s="1"/>
  <c r="AP22" i="8"/>
  <c r="I26" i="8" s="1"/>
  <c r="AV22" i="8"/>
  <c r="O26" i="8" s="1"/>
  <c r="AO7" i="8"/>
  <c r="H11" i="8" s="1"/>
  <c r="AU7" i="8"/>
  <c r="N11" i="8" s="1"/>
  <c r="BA7" i="8"/>
  <c r="T11" i="8" s="1"/>
  <c r="AN9" i="8"/>
  <c r="G13" i="8" s="1"/>
  <c r="AT9" i="8"/>
  <c r="M13" i="8" s="1"/>
  <c r="AZ9" i="8"/>
  <c r="S13" i="8" s="1"/>
  <c r="AM11" i="8"/>
  <c r="F15" i="8" s="1"/>
  <c r="AS11" i="8"/>
  <c r="L15" i="8" s="1"/>
  <c r="AY11" i="8"/>
  <c r="R15" i="8" s="1"/>
  <c r="AL13" i="8"/>
  <c r="E17" i="8" s="1"/>
  <c r="AR13" i="8"/>
  <c r="K17" i="8" s="1"/>
  <c r="AX13" i="8"/>
  <c r="Q17" i="8" s="1"/>
  <c r="AK15" i="8"/>
  <c r="D19" i="8" s="1"/>
  <c r="AQ15" i="8"/>
  <c r="J19" i="8" s="1"/>
  <c r="AW15" i="8"/>
  <c r="P19" i="8" s="1"/>
  <c r="AJ17" i="8"/>
  <c r="C21" i="8" s="1"/>
  <c r="AP17" i="8"/>
  <c r="I21" i="8" s="1"/>
  <c r="AV17" i="8"/>
  <c r="O21" i="8" s="1"/>
  <c r="AO19" i="8"/>
  <c r="H23" i="8" s="1"/>
  <c r="AU19" i="8"/>
  <c r="N23" i="8" s="1"/>
  <c r="BA19" i="8"/>
  <c r="T23" i="8" s="1"/>
  <c r="AN21" i="8"/>
  <c r="G25" i="8" s="1"/>
  <c r="AT21" i="8"/>
  <c r="M25" i="8" s="1"/>
  <c r="AZ21" i="8"/>
  <c r="S25" i="8" s="1"/>
  <c r="AM23" i="8"/>
  <c r="F27" i="8" s="1"/>
  <c r="AS23" i="8"/>
  <c r="L27" i="8" s="1"/>
  <c r="AY23" i="8"/>
  <c r="R27" i="8" s="1"/>
  <c r="AJ6" i="8"/>
  <c r="C10" i="8" s="1"/>
  <c r="AP6" i="8"/>
  <c r="I10" i="8" s="1"/>
  <c r="AV6" i="8"/>
  <c r="O10" i="8" s="1"/>
  <c r="AO8" i="8"/>
  <c r="H12" i="8" s="1"/>
  <c r="AU8" i="8"/>
  <c r="N12" i="8" s="1"/>
  <c r="BA8" i="8"/>
  <c r="T12" i="8" s="1"/>
  <c r="AK10" i="8"/>
  <c r="D14" i="8" s="1"/>
  <c r="AQ10" i="8"/>
  <c r="J14" i="8" s="1"/>
  <c r="AW10" i="8"/>
  <c r="P14" i="8" s="1"/>
  <c r="AJ12" i="8"/>
  <c r="C16" i="8" s="1"/>
  <c r="AP12" i="8"/>
  <c r="I16" i="8" s="1"/>
  <c r="AV12" i="8"/>
  <c r="O16" i="8" s="1"/>
  <c r="AO14" i="8"/>
  <c r="H18" i="8" s="1"/>
  <c r="AU14" i="8"/>
  <c r="N18" i="8" s="1"/>
  <c r="BA14" i="8"/>
  <c r="T18" i="8" s="1"/>
  <c r="AN16" i="8"/>
  <c r="G20" i="8" s="1"/>
  <c r="AT16" i="8"/>
  <c r="M20" i="8" s="1"/>
  <c r="AZ16" i="8"/>
  <c r="S20" i="8" s="1"/>
  <c r="AM18" i="8"/>
  <c r="F22" i="8" s="1"/>
  <c r="AS18" i="8"/>
  <c r="L22" i="8" s="1"/>
  <c r="AY18" i="8"/>
  <c r="R22" i="8" s="1"/>
  <c r="AL20" i="8"/>
  <c r="E24" i="8" s="1"/>
  <c r="AR20" i="8"/>
  <c r="K24" i="8" s="1"/>
  <c r="AX20" i="8"/>
  <c r="Q24" i="8" s="1"/>
  <c r="AK22" i="8"/>
  <c r="D26" i="8" s="1"/>
  <c r="AQ22" i="8"/>
  <c r="J26" i="8" s="1"/>
  <c r="AW22" i="8"/>
  <c r="P26" i="8" s="1"/>
  <c r="AJ7" i="8"/>
  <c r="C11" i="8" s="1"/>
  <c r="AP7" i="8"/>
  <c r="I11" i="8" s="1"/>
  <c r="AV7" i="8"/>
  <c r="O11" i="8" s="1"/>
  <c r="AO9" i="8"/>
  <c r="H13" i="8" s="1"/>
  <c r="AU9" i="8"/>
  <c r="N13" i="8" s="1"/>
  <c r="BA9" i="8"/>
  <c r="T13" i="8" s="1"/>
  <c r="AN11" i="8"/>
  <c r="G15" i="8" s="1"/>
  <c r="AT11" i="8"/>
  <c r="M15" i="8" s="1"/>
  <c r="AZ11" i="8"/>
  <c r="S15" i="8" s="1"/>
  <c r="AM13" i="8"/>
  <c r="F17" i="8" s="1"/>
  <c r="AS13" i="8"/>
  <c r="L17" i="8" s="1"/>
  <c r="AY13" i="8"/>
  <c r="R17" i="8" s="1"/>
  <c r="AL15" i="8"/>
  <c r="E19" i="8" s="1"/>
  <c r="AR15" i="8"/>
  <c r="K19" i="8" s="1"/>
  <c r="AX15" i="8"/>
  <c r="Q19" i="8" s="1"/>
  <c r="AK17" i="8"/>
  <c r="D21" i="8" s="1"/>
  <c r="AQ17" i="8"/>
  <c r="J21" i="8" s="1"/>
  <c r="AW17" i="8"/>
  <c r="P21" i="8" s="1"/>
  <c r="AJ19" i="8"/>
  <c r="C23" i="8" s="1"/>
  <c r="AP19" i="8"/>
  <c r="I23" i="8" s="1"/>
  <c r="AV19" i="8"/>
  <c r="O23" i="8" s="1"/>
  <c r="AO21" i="8"/>
  <c r="H25" i="8" s="1"/>
  <c r="AU21" i="8"/>
  <c r="N25" i="8" s="1"/>
  <c r="BA21" i="8"/>
  <c r="T25" i="8" s="1"/>
  <c r="AN23" i="8"/>
  <c r="G27" i="8" s="1"/>
  <c r="AT23" i="8"/>
  <c r="M27" i="8" s="1"/>
  <c r="AZ23" i="8"/>
  <c r="S27" i="8" s="1"/>
  <c r="AK6" i="8"/>
  <c r="D10" i="8" s="1"/>
  <c r="AQ6" i="8"/>
  <c r="J10" i="8" s="1"/>
  <c r="AW6" i="8"/>
  <c r="P10" i="8" s="1"/>
  <c r="AJ8" i="8"/>
  <c r="C12" i="8" s="1"/>
  <c r="AP8" i="8"/>
  <c r="I12" i="8" s="1"/>
  <c r="AV8" i="8"/>
  <c r="O12" i="8" s="1"/>
  <c r="AL10" i="8"/>
  <c r="E14" i="8" s="1"/>
  <c r="AR10" i="8"/>
  <c r="K14" i="8" s="1"/>
  <c r="AX10" i="8"/>
  <c r="Q14" i="8" s="1"/>
  <c r="AK12" i="8"/>
  <c r="D16" i="8" s="1"/>
  <c r="AQ12" i="8"/>
  <c r="J16" i="8" s="1"/>
  <c r="AW12" i="8"/>
  <c r="P16" i="8" s="1"/>
  <c r="AJ14" i="8"/>
  <c r="C18" i="8" s="1"/>
  <c r="AP14" i="8"/>
  <c r="I18" i="8" s="1"/>
  <c r="AV14" i="8"/>
  <c r="O18" i="8" s="1"/>
  <c r="AO16" i="8"/>
  <c r="H20" i="8" s="1"/>
  <c r="AU16" i="8"/>
  <c r="N20" i="8" s="1"/>
  <c r="BA16" i="8"/>
  <c r="T20" i="8" s="1"/>
  <c r="AN18" i="8"/>
  <c r="G22" i="8" s="1"/>
  <c r="AT18" i="8"/>
  <c r="M22" i="8" s="1"/>
  <c r="AZ18" i="8"/>
  <c r="S22" i="8" s="1"/>
  <c r="AM20" i="8"/>
  <c r="F24" i="8" s="1"/>
  <c r="AS20" i="8"/>
  <c r="L24" i="8" s="1"/>
  <c r="AY20" i="8"/>
  <c r="R24" i="8" s="1"/>
  <c r="AL22" i="8"/>
  <c r="E26" i="8" s="1"/>
  <c r="AR22" i="8"/>
  <c r="K26" i="8" s="1"/>
  <c r="AX22" i="8"/>
  <c r="Q26" i="8" s="1"/>
  <c r="AK7" i="8"/>
  <c r="D11" i="8" s="1"/>
  <c r="AQ7" i="8"/>
  <c r="J11" i="8" s="1"/>
  <c r="AW7" i="8"/>
  <c r="P11" i="8" s="1"/>
  <c r="AJ9" i="8"/>
  <c r="C13" i="8" s="1"/>
  <c r="AP9" i="8"/>
  <c r="I13" i="8" s="1"/>
  <c r="AV9" i="8"/>
  <c r="O13" i="8" s="1"/>
  <c r="AO11" i="8"/>
  <c r="H15" i="8" s="1"/>
  <c r="AU11" i="8"/>
  <c r="N15" i="8" s="1"/>
  <c r="BA11" i="8"/>
  <c r="T15" i="8" s="1"/>
  <c r="AN13" i="8"/>
  <c r="G17" i="8" s="1"/>
  <c r="AT13" i="8"/>
  <c r="M17" i="8" s="1"/>
  <c r="AZ13" i="8"/>
  <c r="S17" i="8" s="1"/>
  <c r="AM15" i="8"/>
  <c r="F19" i="8" s="1"/>
  <c r="AS15" i="8"/>
  <c r="L19" i="8" s="1"/>
  <c r="AY15" i="8"/>
  <c r="R19" i="8" s="1"/>
  <c r="AL17" i="8"/>
  <c r="E21" i="8" s="1"/>
  <c r="AR17" i="8"/>
  <c r="K21" i="8" s="1"/>
  <c r="AX17" i="8"/>
  <c r="Q21" i="8" s="1"/>
  <c r="AK19" i="8"/>
  <c r="D23" i="8" s="1"/>
  <c r="AQ19" i="8"/>
  <c r="J23" i="8" s="1"/>
  <c r="AW19" i="8"/>
  <c r="P23" i="8" s="1"/>
  <c r="AJ21" i="8"/>
  <c r="C25" i="8" s="1"/>
  <c r="AP21" i="8"/>
  <c r="I25" i="8" s="1"/>
  <c r="AV21" i="8"/>
  <c r="O25" i="8" s="1"/>
  <c r="AO23" i="8"/>
  <c r="H27" i="8" s="1"/>
  <c r="AU23" i="8"/>
  <c r="N27" i="8" s="1"/>
  <c r="BA23" i="8"/>
  <c r="T27" i="8" s="1"/>
  <c r="C7" i="4"/>
  <c r="N5" i="3"/>
  <c r="B6" i="4"/>
  <c r="C102" i="3"/>
  <c r="C29" i="4"/>
  <c r="B28" i="4"/>
  <c r="H74" i="3"/>
  <c r="N35" i="3"/>
  <c r="N34" i="3"/>
  <c r="D59" i="4"/>
  <c r="C47" i="4"/>
  <c r="C82" i="3"/>
  <c r="B64" i="4" s="1"/>
  <c r="C27" i="3"/>
  <c r="N21" i="3"/>
  <c r="C103" i="3"/>
  <c r="C104" i="3"/>
  <c r="N6" i="3"/>
  <c r="E36" i="3" a="1"/>
  <c r="E36" i="3" s="1"/>
  <c r="B10" i="4"/>
  <c r="E26" i="3"/>
  <c r="C30" i="3" l="1"/>
  <c r="N7" i="3" s="1"/>
  <c r="C15" i="4"/>
  <c r="B14" i="4"/>
  <c r="C87" i="3"/>
  <c r="C58" i="3"/>
  <c r="N12" i="3"/>
  <c r="C59" i="3"/>
  <c r="N11" i="3"/>
  <c r="C60" i="3" l="1"/>
  <c r="N20" i="3"/>
  <c r="C31" i="3" s="1"/>
  <c r="B24" i="4"/>
  <c r="N22" i="3"/>
  <c r="N16" i="3"/>
  <c r="D20" i="4" s="1"/>
  <c r="N27" i="3"/>
  <c r="N26" i="3"/>
  <c r="N15" i="3"/>
  <c r="N14" i="3"/>
  <c r="C20" i="4" s="1"/>
  <c r="N13" i="3"/>
  <c r="C25" i="4" l="1"/>
  <c r="N28" i="3"/>
  <c r="C46" i="3" s="1"/>
  <c r="C19" i="4"/>
  <c r="N17" i="3"/>
  <c r="N18" i="3" s="1"/>
  <c r="N23" i="3" s="1"/>
  <c r="D19" i="4"/>
  <c r="C62" i="3" l="1"/>
  <c r="C48" i="4"/>
  <c r="C53" i="3"/>
  <c r="D53" i="3"/>
  <c r="C21" i="4" l="1"/>
  <c r="C47" i="3"/>
  <c r="E74" i="3" l="1"/>
  <c r="C49" i="4"/>
  <c r="C34" i="4"/>
  <c r="E75" i="3"/>
  <c r="G75" i="3" s="1"/>
  <c r="C64" i="3"/>
  <c r="C65" i="3"/>
  <c r="D54" i="3"/>
  <c r="C54" i="3"/>
  <c r="N37" i="3"/>
  <c r="C55" i="3"/>
  <c r="C50" i="4" s="1"/>
  <c r="D49" i="3"/>
  <c r="C49" i="3"/>
  <c r="B42" i="4"/>
  <c r="B33" i="4"/>
  <c r="E57" i="4" l="1"/>
  <c r="B45" i="4"/>
  <c r="E77" i="3"/>
  <c r="G74" i="3"/>
  <c r="E56" i="4" l="1"/>
  <c r="G77" i="3"/>
  <c r="C85" i="3"/>
  <c r="C79" i="3" l="1"/>
  <c r="E59" i="4"/>
  <c r="C86" i="3"/>
  <c r="D79" i="3"/>
  <c r="C80" i="3"/>
  <c r="B6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7" authorId="0" shapeId="0" xr:uid="{00000000-0006-0000-0200-000001000000}">
      <text>
        <r>
          <rPr>
            <sz val="10"/>
            <rFont val="Arial"/>
            <family val="2"/>
          </rPr>
          <t>[Trådet kommentar]
Din version af Excel lader dig læse denne trådede kommentar. Eventuelle ændringer vil dog blive fjernet, hvis filen åbnes i en nyere version af Excel. Få mere at vide: https://go.microsoft.com/fwlink/?linkid=870924
Kommentar:
    NEDRE - skal være den værdi vi regner frem til. ØVRE skal være tænkt som en bemærkning, som nævner der kan være op til 10% usikkerhed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<sst xmlns="http://schemas.openxmlformats.org/spreadsheetml/2006/main" count="1133" uniqueCount="591">
  <si>
    <t>Turn #</t>
  </si>
  <si>
    <t>Dato</t>
  </si>
  <si>
    <t>Bruger-anmodning</t>
  </si>
  <si>
    <t>Handling</t>
  </si>
  <si>
    <t>Detaljer</t>
  </si>
  <si>
    <t>Resultat</t>
  </si>
  <si>
    <t>Opdater fane 3 'Sådan beregnes det' med ny lagtykkelse-mode forklaring: trin 3 udvidelse, nye trin 10-12, ny vigtig bemærkning.</t>
  </si>
  <si>
    <t>1) Opdateret Trin 3 formel (B14) med mode-awareness. 2) Indsat 22 nye rækker efter Trin 9 (før Vigtige bemærkninger). 3) Bygget Trin 10 (rækker 44-51): plan-sammenligning med 4 tal-felter. 4) Bygget Trin 11 (rækker 52-62): reduktionsstrategi + lag-tabel + konklusion. 5) Bygget Trin 12 (rækker 63-65): geonet placering. 6) Tilføjet ny Vigtig bemærkning (rækker 77-78). 7) Formateret: row heights 20-100, wrap text, #305496 headers.</t>
  </si>
  <si>
    <t>Formler: 20 celler verificeret, ingen fejl. Trin 3 = B14, Trin 10 = B44:C50, Trin 11 = B52:E61, Trin 12 = B63:B64, ny bemærkning = B77:B78. Eksisterende trin 1-9 og Vigtige bemærkninger (nu rad 41-76) uberørte. Kolonne E tilføjet til lag-tabellen i Trin 11.</t>
  </si>
  <si>
    <t>Fane 3 opdateret og verificeret — alle 20 nye formelceller returnerer korrekte værdier uden fejl.</t>
  </si>
  <si>
    <t>Fjern 'Uarmeret' som valg i Sektion E (C41) dropdown og opdater alle afhængige formler i arket</t>
  </si>
  <si>
    <t>Opdateret data validation, 3 kolonne-N formler, 2 Sektion I formler, og 3 fane-3 formler</t>
  </si>
  <si>
    <t>1) C41 data validation: 'Uarmeret,1 lag,2 lag/flere lag' → '1 lag,2 lag/flere lag', default sat til '1 lag'. 2) N10: IF-wrapper fjernet → =IF($N$8="1 lag",1,2). 3) N20: Uarmeret-gren fjernet → ='4. Korrektionsfaktorer'!$E$7*($N$7-35). 4) N21: Uarmeret-gren fjernet → =$C$37. 5) C80: Uarmeret-gren fjernet, direkte test på '1 lag'. 6) C83: Dobbelt IF-wrapper fjernet. 7) Fane 3 B24 (Trin 5): ydre IF fjernet, direkte phi-tekst. 8) Fane 3 B28 (Trin 6): ydre IF fjernet, direkte net-korr tekst. 9) Fane 3 B42 (Trin 9): Uarmeret-gren fjernet fra IFERROR-wrapper.</t>
  </si>
  <si>
    <t>Alle 9 ændringer gennemført uden fejl. Ingen #VALUE!/#REF!/#NAME? fejl. C41 dropdown viser kun '1 lag' og '2 lag/flere lag'. Sektion I og fane 3 beregner korrekt med '1 lag' som aktiv valg.</t>
  </si>
  <si>
    <t>Geonet Dimensioneringsværktøj — Version 1.1</t>
  </si>
  <si>
    <t>Dimensionering af ubundne bærelag i vejopbygninger med geonet-armering</t>
  </si>
  <si>
    <t xml:space="preserve">Dette værktøj beregner krævet bærelagstykkelse i en vejopbygning, hvor geonet anvendes som armering. Værktøjet er baseret på publicerede designdiagrammer fra GS-GRID / E'GRID Designmanual (okt. 2025) og Tensar Geonet Designmanual (sept. 2024), kombineret med en friktionsvinkel-korrektion fra Byggros' interne rådata-grundlag.
</t>
  </si>
  <si>
    <t>Sådan bruger du værktøjet</t>
  </si>
  <si>
    <t>1.</t>
  </si>
  <si>
    <t>Gå til fane "2. Dimensionering" og udfyld de blå inputfelter.</t>
  </si>
  <si>
    <t>2.</t>
  </si>
  <si>
    <t>Sektion A: Indtast underbundens bæreevne — enten direkte (Eu) eller via vingestyrke (Cv).</t>
  </si>
  <si>
    <t>3.</t>
  </si>
  <si>
    <t>Sektion B: Vælg en belastningsklasse (1-6) eller indtast Eo direkte.</t>
  </si>
  <si>
    <t>4.</t>
  </si>
  <si>
    <t>Sektion C: Vælg bærelagsmateriale(r) fra dropdown — op til 3 lag med procentvis fordeling. Friktionsvinklen beregnes som vægtet gennemsnit. Alternativt kan du indtaste phi direkte.</t>
  </si>
  <si>
    <t>5.</t>
  </si>
  <si>
    <t>Sektion D: Vælg armering — 19 produkter er tilgængelige, plus "Anden armering (manuel)" hvor du selv indtaster korrektionsfaktor.</t>
  </si>
  <si>
    <t>6.</t>
  </si>
  <si>
    <t>Sektion E: Vælg lagopbygning (1 lag, 2 lag eller flere lag).</t>
  </si>
  <si>
    <t>7.</t>
  </si>
  <si>
    <t>Sektion F: Aflæs resultatet — bærelagstykkelse vises som et interval (nedre/øvre).</t>
  </si>
  <si>
    <t>8.</t>
  </si>
  <si>
    <t>Sektion G: Tjek advarsler. Se "3. Sådan beregnes det" for trin-for-trin gennemgang af din beregning.</t>
  </si>
  <si>
    <t>Forudsætninger og begrænsninger</t>
  </si>
  <si>
    <t>•</t>
  </si>
  <si>
    <t>Dimensioneringen forudsætter velgraduerede friktionsmaterialer som bærelag (phi &gt; 35°).</t>
  </si>
  <si>
    <t>Underbundens E-modul skal være Eu = 3 - 45 MPa (svarer til Cv ≈ 5 - 250 kN/m²).</t>
  </si>
  <si>
    <t>Krævet E-modul på toppen af bærelaget skal være Eo = 30 - 150 MPa (svarer til belastningsklasse 1-6).</t>
  </si>
  <si>
    <t>Vejen forudsættes at have dynamisk (trafik-) belastning. Værktøjet er IKKE egnet til statisk belastede konstruktioner såsom pæledæmninger eller forbelastede vejdæmninger.</t>
  </si>
  <si>
    <t>Resultatet er en projekteringsmæssig dimensionering — for komplekse forhold (blød underbund, høj grundvandsstand, særlige belastninger) skal en geotekniker konsulteres.</t>
  </si>
  <si>
    <t>Bemærk: Værktøjet bruger designmanualernes officielle korrektionsfaktorer som standard. Disse kan overstyres på fane "4. Korrektionsfaktorer".</t>
  </si>
  <si>
    <t>Kildedokumenter</t>
  </si>
  <si>
    <t>Dokument</t>
  </si>
  <si>
    <t>Dato/version</t>
  </si>
  <si>
    <t>GS-GRID / E'GRID Designmanual</t>
  </si>
  <si>
    <t>Okt. 2025</t>
  </si>
  <si>
    <t>Officielle korrektionsfaktorer og designdiagrammer 1-6 (digitaliseret)</t>
  </si>
  <si>
    <t>Tensar Geonet Designmanual</t>
  </si>
  <si>
    <t>Sept. 2024</t>
  </si>
  <si>
    <t>Korrektionsfaktorer for Tensar-serien (SS30, TX150-160, HX5.5-165, NX750-850)</t>
  </si>
  <si>
    <t>BG Designmanual input til program (AKK)</t>
  </si>
  <si>
    <t>21/12-2016</t>
  </si>
  <si>
    <t>Phi-korrektion (−2%/grad) og skærver-tabel til krydsvalidering</t>
  </si>
  <si>
    <t>Datablade: TX160, GS-GRID biaxial, GS-GRID SX</t>
  </si>
  <si>
    <t>2024-2025</t>
  </si>
  <si>
    <t>Tekniske data om maskestørrelse, max kornstørrelse mv.</t>
  </si>
  <si>
    <t>Versionshistorik</t>
  </si>
  <si>
    <t>Version</t>
  </si>
  <si>
    <t>Ændring</t>
  </si>
  <si>
    <t>1.0</t>
  </si>
  <si>
    <t>19/05-2026</t>
  </si>
  <si>
    <t>Første udgivelse. Baseret på digitaliserede designdiagrammer fra GS-GRID/E'GRID Designmanual.</t>
  </si>
  <si>
    <t>Farvekoder i værktøjet</t>
  </si>
  <si>
    <t>Blå tekst</t>
  </si>
  <si>
    <t>Brugerinput — celler du selv udfylder</t>
  </si>
  <si>
    <t>Sort tekst</t>
  </si>
  <si>
    <t>Beregnede værdier og formler</t>
  </si>
  <si>
    <t>Grøn tekst</t>
  </si>
  <si>
    <t>Krydshenvisning mellem faneblade</t>
  </si>
  <si>
    <t>Gul baggrund (lys)</t>
  </si>
  <si>
    <t>Inputfelter der kræver din opmærksomhed</t>
  </si>
  <si>
    <t>Gul baggrund (medium)</t>
  </si>
  <si>
    <t>Hovedresultat — den anbefalede dimensionering</t>
  </si>
  <si>
    <t>Orange baggrund</t>
  </si>
  <si>
    <t>Advarsler eller fejlmeddelelser</t>
  </si>
  <si>
    <t>Grå baggrund</t>
  </si>
  <si>
    <t>Værdier aflæst fra diagrammer (mindre præcise)</t>
  </si>
  <si>
    <t>Udarbejdet af Dan Strand - BG Byggros A/S, Østbirkvej 2, 5240 Odense NØ.</t>
  </si>
  <si>
    <t>2. Dimensionering — Beregning af bærelagstykkelse</t>
  </si>
  <si>
    <t>Udfyld de blå inputfelter nedenfor. Resultatet vises automatisk i Sektion F. Læs forklaringen af beregningen på fane "3. Sådan beregnes det".</t>
  </si>
  <si>
    <t>--- Mellemregninger  ---</t>
  </si>
  <si>
    <t>A. Underbund (råjordsplanum)</t>
  </si>
  <si>
    <t>Eu_input (MPa):</t>
  </si>
  <si>
    <t>Vælg om du indtaster Eu direkte (pladebelastning) eller via vingestyrke Cv.</t>
  </si>
  <si>
    <t>Eo_input (MPa):</t>
  </si>
  <si>
    <t>Indtastningsmetode:</t>
  </si>
  <si>
    <t>φ_input (°):</t>
  </si>
  <si>
    <t>Vingestyrke Cv:</t>
  </si>
  <si>
    <t>(udfyldes hvis "Via vingestyrke" valgt)</t>
  </si>
  <si>
    <t>Lag_input:</t>
  </si>
  <si>
    <t>Eu (direkte):</t>
  </si>
  <si>
    <t>(udfyldes hvis "Direkte" valgt)</t>
  </si>
  <si>
    <t>Afledt Eu (fra Cv):</t>
  </si>
  <si>
    <t>(beregnes automatisk)</t>
  </si>
  <si>
    <t>Lag-offset (0/1/2):</t>
  </si>
  <si>
    <t>→ Eu brugt i beregning:</t>
  </si>
  <si>
    <t>Eo→kolonneindex (U):</t>
  </si>
  <si>
    <t>Eu række-match:</t>
  </si>
  <si>
    <t>B. Krav til overflade (E-modul på toppen af bærelaget)</t>
  </si>
  <si>
    <t>Eu_lower (MPa):</t>
  </si>
  <si>
    <t>Vælg en belastningsklasse fra dropdown, eller indtast Eo direkte.</t>
  </si>
  <si>
    <t>Eu_upper (MPa):</t>
  </si>
  <si>
    <t>Belastningsklasse:</t>
  </si>
  <si>
    <t>T_low (cm):</t>
  </si>
  <si>
    <t>Eo (direkte):</t>
  </si>
  <si>
    <t>(udfyldes hvis "Indtast Eo direkte" valgt)</t>
  </si>
  <si>
    <t>T_high (cm):</t>
  </si>
  <si>
    <t>→ Eo brugt i beregning:</t>
  </si>
  <si>
    <t>T_basis (cm):</t>
  </si>
  <si>
    <t>T_basis (mm):</t>
  </si>
  <si>
    <t>C. Bærelagsmateriale (op til 3 lag eller manuel φ)</t>
  </si>
  <si>
    <t>φ-korrektion:</t>
  </si>
  <si>
    <t>Lagtykkelser</t>
  </si>
  <si>
    <t>← skift mellem procentvis vægtning og konkrete lagtykkelser</t>
  </si>
  <si>
    <t>Net-korrektion:</t>
  </si>
  <si>
    <t>Materiale</t>
  </si>
  <si>
    <t>Andel (%)</t>
  </si>
  <si>
    <t>Tykkelse (mm)</t>
  </si>
  <si>
    <t>φ (°)</t>
  </si>
  <si>
    <t>Lagtype</t>
  </si>
  <si>
    <t>Samlet faktor:</t>
  </si>
  <si>
    <t>SG II 0-32</t>
  </si>
  <si>
    <t>T_armeret (mm):</t>
  </si>
  <si>
    <t>Bundsand</t>
  </si>
  <si>
    <t>Sum:</t>
  </si>
  <si>
    <t>T_uarm_low (cm):</t>
  </si>
  <si>
    <t>Lagstruktur:</t>
  </si>
  <si>
    <t>T_uarm_high (cm):</t>
  </si>
  <si>
    <t>Vægtet φ  (fra materialer):</t>
  </si>
  <si>
    <t>T_uarmeret (mm):</t>
  </si>
  <si>
    <t>ELLER manuel φ :</t>
  </si>
  <si>
    <t>(udfyldes hvis du vil overstyre den vægtede)</t>
  </si>
  <si>
    <t>→ φ brugt i beregning:</t>
  </si>
  <si>
    <t>φ-korrektion anvendt:</t>
  </si>
  <si>
    <t>Friktionsvinkel-korrektionen justerer basis-tykkelsen fra opslagstabellen, som er baseret på et standardmateriale med φ ≈ 35°. For hver grad over 35° reduceres tykkelsen med 2 %, og for φ under 35° øges tykkelsen tilsvarende. I beregningen anvendes den som en multiplikativ faktor på T_basis sammen med net-korrektionen: T_armeret = T_basis × (1 + φ-korrektion + net-korrektion). En negativ værdi betyder der reduceres i tykkelsen.</t>
  </si>
  <si>
    <t>--- Reduktionsstrategi ---</t>
  </si>
  <si>
    <t>D. Armering</t>
  </si>
  <si>
    <t>Sum bærelag (mm):</t>
  </si>
  <si>
    <t>Vælg geonet-produkt. Korrektionsfaktoren slås automatisk op. Vælg "Anden armering" for manuelt indtastet korrektion (fx for konkurrentprodukter).</t>
  </si>
  <si>
    <t>Sum bundsikring (mm):</t>
  </si>
  <si>
    <t>Geonet:</t>
  </si>
  <si>
    <t>Tensar InterAx NX750</t>
  </si>
  <si>
    <t>Planlagt total (mm):</t>
  </si>
  <si>
    <t>Standard korrektion:</t>
  </si>
  <si>
    <t>Mulig besparelse (mm):</t>
  </si>
  <si>
    <t>Manuel korrektion:</t>
  </si>
  <si>
    <t>(udfyldes for "Anden armering" eller for at overstyre)</t>
  </si>
  <si>
    <t>→ Net-korrektion:</t>
  </si>
  <si>
    <t>E. Lagopbygning</t>
  </si>
  <si>
    <t>Vælg antal lag geonet.</t>
  </si>
  <si>
    <t>Antal lag:</t>
  </si>
  <si>
    <t>1 lag</t>
  </si>
  <si>
    <t>F. Resultater</t>
  </si>
  <si>
    <t>Tykkelse uden armering:</t>
  </si>
  <si>
    <t>(reference til sammenligning - hvor tyk skal opbygningen være, hvis der ikke armeres, jf. designdiagrammerne?)</t>
  </si>
  <si>
    <t>Armeret tykkelse:</t>
  </si>
  <si>
    <t>← ANBEFALET DIMENSIONERENDE VÆRDI (basis × φ-korr × net-korr)</t>
  </si>
  <si>
    <t>Reduktion ift. uarmeret:</t>
  </si>
  <si>
    <t>(mm sparet og % reduktion)</t>
  </si>
  <si>
    <t>Planlagt opbygning:</t>
  </si>
  <si>
    <t>Afvigelse ift. uarmeret krav:</t>
  </si>
  <si>
    <t>Afvigelse ift armeret krav:</t>
  </si>
  <si>
    <t>Mulig reduktion af planlagt opbygning:</t>
  </si>
  <si>
    <t>G. Advarsler og anbefalinger</t>
  </si>
  <si>
    <t>Eu gyldighed:</t>
  </si>
  <si>
    <t>Eo gyldighed:</t>
  </si>
  <si>
    <t>φ gyldighed:</t>
  </si>
  <si>
    <t>Materialesum:</t>
  </si>
  <si>
    <t>Lagopbygning:</t>
  </si>
  <si>
    <t>Korn vs maske:</t>
  </si>
  <si>
    <t>Min. dæklag:</t>
  </si>
  <si>
    <t>Anbefaling om lag:</t>
  </si>
  <si>
    <t>Denne sektion er kun aktiv når du har indtastet lagtykkelser i Sektion C. Vælg hvordan besparelsen ved armering skal fordeles mellem dine lag, eller indtast manuelt nye lagtykkelser. Værktøjet validerer at min. 200 mm dæklag overholdes for geonettet.</t>
  </si>
  <si>
    <t>Reduktionsstrategi:</t>
  </si>
  <si>
    <t>← bestemmer hvor besparelsen tages fra</t>
  </si>
  <si>
    <t>Lag</t>
  </si>
  <si>
    <t>Planlagt (mm)</t>
  </si>
  <si>
    <t>Foreslået (mm)</t>
  </si>
  <si>
    <t>Manuel (mm)</t>
  </si>
  <si>
    <t>Endeligt (mm)</t>
  </si>
  <si>
    <t>Lag 1</t>
  </si>
  <si>
    <t>Lag 2</t>
  </si>
  <si>
    <t>Lag 3</t>
  </si>
  <si>
    <t>Total:</t>
  </si>
  <si>
    <t>Endeligt vs. armeret krav:</t>
  </si>
  <si>
    <t>Sparet ift. planlagt:</t>
  </si>
  <si>
    <t>(forskel mellem din planlagte og det foreslåede armerede design)</t>
  </si>
  <si>
    <t>Geonet placering:</t>
  </si>
  <si>
    <t>Advarsler:</t>
  </si>
  <si>
    <t>200 mm dæklag:</t>
  </si>
  <si>
    <t>Tykkelse vs. krav:</t>
  </si>
  <si>
    <t>Strategi-relevans:</t>
  </si>
  <si>
    <t>Råjordsplanum</t>
  </si>
  <si>
    <t>Valgt produkt:</t>
  </si>
  <si>
    <t>Produktspecifikke krav (jf. datablad og designmanual):</t>
  </si>
  <si>
    <t>Maske/Pitch:</t>
  </si>
  <si>
    <t>(produktdata fra databladet)</t>
  </si>
  <si>
    <t>Maks. kornstørrelse:</t>
  </si>
  <si>
    <t>(datablad — hård grænse, må ikke overskrides)</t>
  </si>
  <si>
    <t>Anbef. tilslag:</t>
  </si>
  <si>
    <t>(designmanualens anbefaling — vejledende)</t>
  </si>
  <si>
    <t>Min. dæklag over geonet:</t>
  </si>
  <si>
    <t>(produktspecifikt minimum)</t>
  </si>
  <si>
    <t>Maks. tid uden afdækning:</t>
  </si>
  <si>
    <t>&lt;2 uger</t>
  </si>
  <si>
    <t>(UV-følsomhed, jf. datablad)</t>
  </si>
  <si>
    <t>Indbygningskrav (jf. designmanualerne):</t>
  </si>
  <si>
    <t>Overlæg i samlinger:</t>
  </si>
  <si>
    <t>(30 cm ved Eu ≥ 5 MN/m², 40 cm ved Eu &lt; 5)</t>
  </si>
  <si>
    <t>Afstand mellem geonet-lag:</t>
  </si>
  <si>
    <t>(kun ved 2+ lag — Tensar: 20-40, GS-GRID/E'GRID: 20-50)</t>
  </si>
  <si>
    <t>Øverste lag placering:</t>
  </si>
  <si>
    <t>(kun ved 2+ lag)</t>
  </si>
  <si>
    <t>Komprimering:</t>
  </si>
  <si>
    <t>Undgå vibration på vandholdig underbund</t>
  </si>
  <si>
    <t>(forhøjer porevandtryk og nedsætter midlertidigt bæreevnen)</t>
  </si>
  <si>
    <t>Anbefalet kontrol:</t>
  </si>
  <si>
    <t>Pladebelastning før og efter indbygning</t>
  </si>
  <si>
    <t>(Referenceblad 6, Dansk Geoteknisk Forening)</t>
  </si>
  <si>
    <t>3. Sådan beregnes det — Trin-for-trin forklaring</t>
  </si>
  <si>
    <t>Denne fane viser nøjagtigt hvordan værktøjet er kommet frem til resultatet på fane "2. Dimensionering". Alle tal opdateres automatisk når du ændrer input. Brug denne fane til at forstå beregningen, forklare den til kunder eller dokumentere dimensioneringen i et notat.</t>
  </si>
  <si>
    <t>Trin 1: Underbundens bæreevne</t>
  </si>
  <si>
    <t>Eu (anvendt i beregning):</t>
  </si>
  <si>
    <t>Trin 2: Krav til toppen af bærelaget</t>
  </si>
  <si>
    <t>Eo (anvendt i beregning):</t>
  </si>
  <si>
    <t>φ</t>
  </si>
  <si>
    <t>Trin 3: Bærelagets friktionsvinkel</t>
  </si>
  <si>
    <t>φ (anvendt i beregning):</t>
  </si>
  <si>
    <t>Trin 4: Opslag i designdiagrammet</t>
  </si>
  <si>
    <t xml:space="preserve">Mellem Eu = </t>
  </si>
  <si>
    <t xml:space="preserve">og Eu = </t>
  </si>
  <si>
    <t>Trin 5: Korrektion for friktionsvinkel</t>
  </si>
  <si>
    <t>Trin 6: Korrektion for armeringstype</t>
  </si>
  <si>
    <t>Net-korrektion anvendt:</t>
  </si>
  <si>
    <t>Trin 7: Sammensætning til dimensionerende tykkelse</t>
  </si>
  <si>
    <t>Vi multiplicerer basis-tykkelsen med den samlede korrektionsfaktor (1 + φ-korrektion + net-korrektion). Resultatet er den dimensionerende armerede bærelagstykkelse — det er det tal du skal bruge i projektet.</t>
  </si>
  <si>
    <t>→ T_armeret (dimensionerende):</t>
  </si>
  <si>
    <t>Trin 9: Sammenligning med uarmeret opbygning</t>
  </si>
  <si>
    <t>Trin 10: Sammenligning af din planlagte opbygning med kravene</t>
  </si>
  <si>
    <t>Planlagt total:</t>
  </si>
  <si>
    <t>Krav uden armering:</t>
  </si>
  <si>
    <t>Krav med armering:</t>
  </si>
  <si>
    <t>Mulig besparelse:</t>
  </si>
  <si>
    <t>Trin 11: Reduktionsstrategi — hvor i opbygningen tages besparelsen?</t>
  </si>
  <si>
    <t>TOTAL</t>
  </si>
  <si>
    <t>Trin 12: Hvor placeres geonettet i opbygningen?</t>
  </si>
  <si>
    <t>Vigtige bemærkninger</t>
  </si>
  <si>
    <t>• Diagrammer baseret på reference-produkt.</t>
  </si>
  <si>
    <t>Designdiagrammerne anvender GS-GRID SX160 / E'GRID T6 (eller TriAx TX160) som reference. Andre produkter justeres via korrektionsfaktoren (effektindeks).</t>
  </si>
  <si>
    <t>• Multilag indlejret i diagram.</t>
  </si>
  <si>
    <t>Diagrammerne har separate kurver for "uarmeret", "1 lag" og "2 lag/flere lag". Bonussen ved multi-lags-opbygning er allerede indeholdt i kurverne — der lægges INGEN ekstra multilag-korrektion ovenpå.</t>
  </si>
  <si>
    <t>• φ-korrektion er en lineær approksimation.</t>
  </si>
  <si>
    <t>Excel-arkets φ-korrektion (−2 %/grad) er en gennemsnitlig værdi. For ren skærver-konstruktion (φ=45°) kan en direkte tabel-opslag give en lidt tyndere konstruktion — men formel-metoden er konsistent og lidt på den sikre side.</t>
  </si>
  <si>
    <t>• For yderligere reduktion.</t>
  </si>
  <si>
    <t>Hvis tykkelsen er stor (&gt;500 mm), kan 2 lag geonet typisk reducere yderligere 10 %. Værktøjet anbefaler det automatisk i sektion G.</t>
  </si>
  <si>
    <t>• Lagtykkelse-mode bruger samme dimensioneringsformel.</t>
  </si>
  <si>
    <t>Selvom du indtaster konkrete lagtykkelser i mm, ændrer det IKKE selve dimensioneringen — værktøjet beregner stadig T_armeret_krævet ud fra diagrammet, uafhængigt af hvor tyk din planlagte opbygning er. Lagtykkelse-mode tilføjer kun en ekstra dimension af analyse: sammenligning af din plan med krav, og en konkret fordeling af besparelsen mellem dine materiale-lag.</t>
  </si>
  <si>
    <t>4. Korrektionsfaktorer — Overstyring af standardværdier</t>
  </si>
  <si>
    <t>Her kan du overstyre de korrektionsfaktorer der bruges i dimensioneringsformlen. Som standard anvendes designmanualernes officielle tal. Hvis du indtaster en værdi i kolonnen "Brugerdefineret", overstyres standard-værdien — også på fane 2. For at gå tilbage til standardværdien, slet din indtastning.</t>
  </si>
  <si>
    <t>A. Generelle korrektionsfaktorer</t>
  </si>
  <si>
    <t>Beskrivelse</t>
  </si>
  <si>
    <t>Standard</t>
  </si>
  <si>
    <t>Brugerdef.</t>
  </si>
  <si>
    <t>Aktuelt</t>
  </si>
  <si>
    <t>Kilde / Bemærkning</t>
  </si>
  <si>
    <t>Friktionsvinkel-korrektion (pr. grad over 35°)</t>
  </si>
  <si>
    <t>Excel-arket BG-DATA NY (AKK 21/12-2016). Reducerer T med 2% pr. grad ekstra friktionsvinkel.</t>
  </si>
  <si>
    <t>Flerlags-effekt ved &gt;1 lag geonet</t>
  </si>
  <si>
    <t>Ikke relevant</t>
  </si>
  <si>
    <t>GS-GRID / TENSAR Designmanual: flere lag geonet i bærelagstykkelser på &gt;500 mm kan reducere den totale tykkelse yderligere med ca. 10%. I dette værktøj er effekten allerede indbygget i beregningen via opslagstabellernes kolonne '2/flere lag' på fane 7 og dermed medtaget i resultatet.</t>
  </si>
  <si>
    <t>B. Produktspecifikke korrektionsfaktorer for armering</t>
  </si>
  <si>
    <t>Disse værdier er kopieret fra fane "6. DB Geonet". Du kan overstyre dem her hvis du vil teste en alternativ vurdering. Bemærk: at ændre disse her påvirker IKKE databasen — kun det resultat værktøjet bruger. Korrektionsfaktoren er en tykkelsesjustering relativt til referenceproduktet Tensar TriAx TX160 / GS-GRID SX160 / E'GRID T6 (effektindeks 100). En positiv faktor betyder mindre effektiv armering og dermed et tykkere bærelag. Eksempel: Tensar HX5.5 har effektindeks 95 og derfor +5,0 %, hvilket betyder at den krævede bærelagstykkelse øges med 5 % i forhold til referencen, og ikke at nettet er 5 % bedre.</t>
  </si>
  <si>
    <t>Produkt</t>
  </si>
  <si>
    <t>Tensar SS30</t>
  </si>
  <si>
    <t>Effektindeks 90</t>
  </si>
  <si>
    <t>Tensar TriAx TX150</t>
  </si>
  <si>
    <t>Tensar HX5.5</t>
  </si>
  <si>
    <t>Effektindeks 95</t>
  </si>
  <si>
    <t>Tensar TriAx TX160</t>
  </si>
  <si>
    <t>REFERENCE — effektindeks 100</t>
  </si>
  <si>
    <t>Tensar HX165</t>
  </si>
  <si>
    <t>Effektindeks 105</t>
  </si>
  <si>
    <t>Effektindeks 110-120</t>
  </si>
  <si>
    <t>Tensar InterAx NX850</t>
  </si>
  <si>
    <t>Effektindeks 115-130</t>
  </si>
  <si>
    <t>GS-GRID B20/20</t>
  </si>
  <si>
    <t>GS-GRID B20/20L</t>
  </si>
  <si>
    <t>GS-GRID B30/30</t>
  </si>
  <si>
    <t>GS-GRID B30/30L</t>
  </si>
  <si>
    <t>GS-GRID B30/30XL</t>
  </si>
  <si>
    <t>GS-GRID B40/40</t>
  </si>
  <si>
    <t>GS-GRID B40/40L</t>
  </si>
  <si>
    <t>GS-GRID SX160</t>
  </si>
  <si>
    <t>REFERENCE</t>
  </si>
  <si>
    <t>GS-GRID SX170</t>
  </si>
  <si>
    <t>E'GRID T6</t>
  </si>
  <si>
    <t>Alternativ til SX160</t>
  </si>
  <si>
    <t>E'GRID T7</t>
  </si>
  <si>
    <t>Alternativ til SX170</t>
  </si>
  <si>
    <t>E'GRID T9L</t>
  </si>
  <si>
    <t>5. Database: Bærelagsmaterialer</t>
  </si>
  <si>
    <t>Denne database indeholder de typiske bærelagsmaterialer med tilhørende friktionsvinkel (φ), maksimal kornstørrelse og lagtype. Lagtypen (Bærelag eller Bundsikring) bruges af værktøjet til automatisk at placere geonettet korrekt i opbygningen — bærelag øverst, bundsikring nederst, geonet typisk i laggrænsen mellem dem. Du kan tilføje egne materialer ved at indsætte en ny række (men brug ikke materialenavne der allerede findes).</t>
  </si>
  <si>
    <t>Max korn (mm)</t>
  </si>
  <si>
    <t>Anvendelse</t>
  </si>
  <si>
    <t>Bundsikring</t>
  </si>
  <si>
    <t>Bundlag, friktionsmateriale</t>
  </si>
  <si>
    <t>Bundgrus 0-80</t>
  </si>
  <si>
    <t>SG I 0-32</t>
  </si>
  <si>
    <t>Bærelag</t>
  </si>
  <si>
    <t>Stabilgrus, øvre bærelag</t>
  </si>
  <si>
    <t>Stabilgrus</t>
  </si>
  <si>
    <t>Knust beton 0-32</t>
  </si>
  <si>
    <t>Genbrugsmateriale, øvre bærelag</t>
  </si>
  <si>
    <t>Skærver 0-32</t>
  </si>
  <si>
    <t>Topbærelag, høj kvalitet</t>
  </si>
  <si>
    <t>Skærver 0-64</t>
  </si>
  <si>
    <t>Skærver 0-90</t>
  </si>
  <si>
    <t>Bærelag (kan dog også anvendes som bundsikring)</t>
  </si>
  <si>
    <t>Skærver 0-120</t>
  </si>
  <si>
    <t>Skærver 0-150</t>
  </si>
  <si>
    <t>Bundsikring grov</t>
  </si>
  <si>
    <t>Skærver 0-200</t>
  </si>
  <si>
    <t>Bundsikring meget grov</t>
  </si>
  <si>
    <t>Skærver 0-250</t>
  </si>
  <si>
    <t>Bundsikring ekstrem</t>
  </si>
  <si>
    <t>Manuel indtastning</t>
  </si>
  <si>
    <t>Vælg denne mulighed på fane 2 for at indtaste φ direkte</t>
  </si>
  <si>
    <t>Farvekoder for lagtype:</t>
  </si>
  <si>
    <t>Bærelag (øvre lag, stabilgrus eller fine skærver)</t>
  </si>
  <si>
    <t>Bundsikring (nedre lag, sand/grus eller grove skærver)</t>
  </si>
  <si>
    <t>6. Database: Geonet</t>
  </si>
  <si>
    <t>Komplet produktkatalog over Tensar- og GS-GRID/E'GRID-geonet. Korrektionsfaktorerne er fra de officielle designmanualer (sept. 2024 og okt. 2025) og udtrykker hvor meget bærelagstykkelsen ændrer sig i forhold til reference-produktet (effektindeks 100 = TX160/SX160). En positiv faktor betyder et mindre effektivt net (tykkere bærelag), en negativ faktor betyder mere effektivt net (tyndere bærelag). Tekniske data er fra databladene. Tomme felter = data ikke tilgængelige.</t>
  </si>
  <si>
    <t>Serie</t>
  </si>
  <si>
    <t>Type</t>
  </si>
  <si>
    <t>Korrektion</t>
  </si>
  <si>
    <t>Maske/Pitch</t>
  </si>
  <si>
    <t>Min dæklag (cm)</t>
  </si>
  <si>
    <t>Rullebredde (m)</t>
  </si>
  <si>
    <t>Bemærkning</t>
  </si>
  <si>
    <t>Anbef. tilslag (mm)</t>
  </si>
  <si>
    <t>Tensar</t>
  </si>
  <si>
    <t>Biaxialt</t>
  </si>
  <si>
    <t>Triaxialt</t>
  </si>
  <si>
    <t>Hexagonalt</t>
  </si>
  <si>
    <t>ribbe 40 mm</t>
  </si>
  <si>
    <t>REFERENCE — effektindeks 100. Max korn udledt fra designmanualens regel: 2 × ribbe 40 mm = 80 mm.</t>
  </si>
  <si>
    <t>GS-GRID</t>
  </si>
  <si>
    <t>35×35 mm</t>
  </si>
  <si>
    <t>34×34 mm</t>
  </si>
  <si>
    <t>57×57 mm</t>
  </si>
  <si>
    <t>95×95 mm</t>
  </si>
  <si>
    <t>33×33 mm</t>
  </si>
  <si>
    <t>pitch 80 mm</t>
  </si>
  <si>
    <t>E'GRID</t>
  </si>
  <si>
    <t>pitch 120 mm</t>
  </si>
  <si>
    <t>Anden armering</t>
  </si>
  <si>
    <t>(manuel)</t>
  </si>
  <si>
    <t>Indtast navn og faktor manuelt</t>
  </si>
  <si>
    <t>Note: Korrektionsfaktorerne på denne fane bruges som STANDARDVÆRDIER på fane 2. Brugeren kan overstyre dem på fane "4. Korrektionsfaktorer" hvis særlige forhold gør sig gældende.</t>
  </si>
  <si>
    <t>7. Opslagstabeller — Datafundament for beregningerne</t>
  </si>
  <si>
    <t>7.x Hjælpelogik — dynamisk generering af tabel 7.1 fra rådata i 7.2</t>
  </si>
  <si>
    <t>Denne fane indeholder alle de underliggende tabeller som dimensioneringen trækker fra. Tabellerne kan ikke ændres uden at det påvirker beregningen — kun gør det hvis du forstår konsekvenserne.</t>
  </si>
  <si>
    <t>Denne sektion indeholder kun formler. Mapping-tabellen beskriver hvor hver diagramserie ligger i 7.2, og hjælpe-matricen beregner herefter 7.1 automatisk via lineær interpolation. Hvis rådata i 7.2 ændres, opdateres 7.1 automatisk.</t>
  </si>
  <si>
    <t>Hjælpe-matrice: beregnet 7.1-værdi (cm)</t>
  </si>
  <si>
    <t>7.1 Lookup-tabel: Bærelagstykkelse (cm) som funktion af Eu, Eo og lagopbygning</t>
  </si>
  <si>
    <t>Serie-nøgle</t>
  </si>
  <si>
    <t>Eo (MPa)</t>
  </si>
  <si>
    <t>Tykkelse-range</t>
  </si>
  <si>
    <t>Eu-range</t>
  </si>
  <si>
    <t>Kilde i 7.2</t>
  </si>
  <si>
    <t>Eu (MPa)</t>
  </si>
  <si>
    <t>30|Uarmeret</t>
  </si>
  <si>
    <t>30|1 lag</t>
  </si>
  <si>
    <t>30|2/flere lag</t>
  </si>
  <si>
    <t>45|Uarmeret</t>
  </si>
  <si>
    <t>45|1 lag</t>
  </si>
  <si>
    <t>45|2/flere lag</t>
  </si>
  <si>
    <t>60|Uarmeret</t>
  </si>
  <si>
    <t>60|1 lag</t>
  </si>
  <si>
    <t>60|2/flere lag</t>
  </si>
  <si>
    <t>80|Uarmeret</t>
  </si>
  <si>
    <t>80|1 lag</t>
  </si>
  <si>
    <t>80|2/flere lag</t>
  </si>
  <si>
    <t>120|Uarmeret</t>
  </si>
  <si>
    <t>120|1 lag</t>
  </si>
  <si>
    <t>120|2/flere lag</t>
  </si>
  <si>
    <t>150|Uarmeret</t>
  </si>
  <si>
    <t>150|1 lag</t>
  </si>
  <si>
    <t>150|2/flere lag</t>
  </si>
  <si>
    <t>Lookup-tabellen genereres automatisk med formler ud fra rå diagram-data (sektion 7.2) via hjælpe-logikken fra kolonne AA og frem. Bærelagstykkelser er angivet i CENTIMETER. Celler med — = udenfor diagrammets gyldighedsområde. Disse værdier udgør "T_basis" i beregningen og bliver derefter korrigeret for friktionsvinkel, net-type og usikkerhedsmargin på fane 2.</t>
  </si>
  <si>
    <t>Uarmeret</t>
  </si>
  <si>
    <t>$B$37:$B$48</t>
  </si>
  <si>
    <t>$C$37:$C$48</t>
  </si>
  <si>
    <t>Diagram 1</t>
  </si>
  <si>
    <t>$D$37:$D$48</t>
  </si>
  <si>
    <t>Eo = 30 MPa (klasse 1)</t>
  </si>
  <si>
    <t>Eo = 45 MPa (klasse 2)</t>
  </si>
  <si>
    <t>Eo = 60 MPa (klasse 3)</t>
  </si>
  <si>
    <t>Eo = 80 MPa (klasse 4)</t>
  </si>
  <si>
    <t>Eo = 120 MPa (klasse 5)</t>
  </si>
  <si>
    <t>Eo = 150 MPa (klasse 6)</t>
  </si>
  <si>
    <t>2/flere lag</t>
  </si>
  <si>
    <t>$E$37:$E$48</t>
  </si>
  <si>
    <t>$I$37:$I$50</t>
  </si>
  <si>
    <t>$J$37:$J$50</t>
  </si>
  <si>
    <t>Diagram 2</t>
  </si>
  <si>
    <t>$K$37:$K$50</t>
  </si>
  <si>
    <t>$L$37:$L$50</t>
  </si>
  <si>
    <t>$B$55:$B$68</t>
  </si>
  <si>
    <t>$C$55:$C$68</t>
  </si>
  <si>
    <t>Diagram 3</t>
  </si>
  <si>
    <t>$D$55:$D$68</t>
  </si>
  <si>
    <t>$E$55:$E$68</t>
  </si>
  <si>
    <t>$I$55:$I$68</t>
  </si>
  <si>
    <t>$J$55:$J$68</t>
  </si>
  <si>
    <t>Diagram 4</t>
  </si>
  <si>
    <t>$K$55:$K$68</t>
  </si>
  <si>
    <t>$L$55:$L$68</t>
  </si>
  <si>
    <t>$B$73:$B$86</t>
  </si>
  <si>
    <t>$C$73:$C$86</t>
  </si>
  <si>
    <t>Diagram 5</t>
  </si>
  <si>
    <t>$D$73:$D$86</t>
  </si>
  <si>
    <t>$E$73:$E$86</t>
  </si>
  <si>
    <t>$I$73:$I$86</t>
  </si>
  <si>
    <t>$J$73:$J$86</t>
  </si>
  <si>
    <t>Diagram 6</t>
  </si>
  <si>
    <t>$K$73:$K$86</t>
  </si>
  <si>
    <t>$L$73:$L$86</t>
  </si>
  <si>
    <t>Note: "—" indikerer at den aktuelle Eu-værdi er udenfor det område hvor diagrammets kurve har data. Værktøjet vil give en fejlmelding på fane 2 i sådanne tilfælde.</t>
  </si>
  <si>
    <t>7.2 Rå diagram-data (aflæst fra GS-GRID Designmanual okt. 2025)</t>
  </si>
  <si>
    <t>Disse er de aflæste datapunkter fra de seks designdiagrammer i designmanualen. Hver tabel viser sammenhængen mellem bærelagstykkelse (cm) og det opnåede Eu (MPa) for hhv. uarmeret, 1 lag og 2 lag/flere lag opbygning. Diagrammerne er baseret på GS-GRID SX160 / E'GRID T6 (eller TilsAx TX160) som reference-armering.</t>
  </si>
  <si>
    <t>Diagram 1: Eo = 30 MPa (Belastningsklasse 1)</t>
  </si>
  <si>
    <t>Diagram 2: Eo = 45 MPa (Belastningsklasse 2)</t>
  </si>
  <si>
    <t>Tykkelse (cm)</t>
  </si>
  <si>
    <t>Eu uarmeret</t>
  </si>
  <si>
    <t>Eu 1 lag</t>
  </si>
  <si>
    <t>Eu 2/flere lag</t>
  </si>
  <si>
    <t>Diagram 3: Eo = 60 MPa (Belastningsklasse 3)</t>
  </si>
  <si>
    <t>Diagram 4: Eo = 80 MPa (Belastningsklasse 4)</t>
  </si>
  <si>
    <t>Diagram 5: Eo = 120 MPa (Belastningsklasse 5)</t>
  </si>
  <si>
    <t>Diagram 6: Eo = 150 MPa (Belastningsklasse 6)</t>
  </si>
  <si>
    <t>7.3 Knust sten/Skærver-tabel (krydsvalidering, φ 45°)</t>
  </si>
  <si>
    <t>Fra Excel-arket "BG Designmanual input til program AKK" (21/12-2016). Disse værdier bruges som krydsvalidering — vores φ-korrektion ved φ 45° bør give et resultat indenfor det "nedre/øvre"-interval i denne tabel.</t>
  </si>
  <si>
    <t>Eo=45 (nedre/øvre, mm)</t>
  </si>
  <si>
    <t>Eo=80 (nedre/øvre, mm)</t>
  </si>
  <si>
    <t>Eo=100 (nedre/øvre, mm)</t>
  </si>
  <si>
    <t>Eo=120 (nedre/øvre, mm)</t>
  </si>
  <si>
    <t>Eo=150 (nedre/øvre, mm)</t>
  </si>
  <si>
    <t>7.4 Cv → Eu konvertering (fra GS-GRID Designmanual fig. 3)</t>
  </si>
  <si>
    <t>Bruges når brugeren indtaster vingestyrke i stedet for Eu direkte. Vingestyrken antages at gælde for moræneler, gytje eller lignende.</t>
  </si>
  <si>
    <t>Cv min (kN/m²)</t>
  </si>
  <si>
    <t>Cv max (kN/m²)</t>
  </si>
  <si>
    <t>7.5 Belastningsklasser (fra GS-GRID Designmanual fig. 5)</t>
  </si>
  <si>
    <t>Klasse</t>
  </si>
  <si>
    <t>Belastningstype</t>
  </si>
  <si>
    <t>Typisk anvendelse</t>
  </si>
  <si>
    <t>Begrænset belastning</t>
  </si>
  <si>
    <t>Cykelstier, midlertidige byggeveje</t>
  </si>
  <si>
    <t>Større belastning</t>
  </si>
  <si>
    <t>Markveje, midlertidige byggeveje med større belastning</t>
  </si>
  <si>
    <t>Let trafik (akseltryk ≤6 t)</t>
  </si>
  <si>
    <t>Villaveje, p-pladser for personbiler</t>
  </si>
  <si>
    <t>Middel trafik (akseltryk ≤8 t)</t>
  </si>
  <si>
    <t>Middel trafikerede veje, p-arealer, flydende gulve i lagerhaller</t>
  </si>
  <si>
    <t>Tung trafik (akseltryk ≤12 t)</t>
  </si>
  <si>
    <t>Hovedveje, amtsveje, containerpladser</t>
  </si>
  <si>
    <t>Meget tung trafik (akseltryk ≤15 t)</t>
  </si>
  <si>
    <t>Landingsbaner, p-arealer for meget tunge køretøjer</t>
  </si>
  <si>
    <t>8. Eksempler — Tre gennemgåede cases</t>
  </si>
  <si>
    <t>Tre eksempler fra GS-GRID Designmanual (okt. 2025). Disse er gennemgået manuelt og tjener som regression-test for værktøjet — værktøjets beregning skal stemme overens med designmanualens publicerede svar inden for ±10 % (typisk 5 %).</t>
  </si>
  <si>
    <t>Eksempel 1: Byggeveje</t>
  </si>
  <si>
    <t>Anlæg af midlertidig byggevej på relativt slap moræneler. Vingestyrke målt 40-50 kN/m². Krævet Eo = 30 MPa. Bærelag: bundsikring 0-90 mm (Bundgrus, φ 38°).</t>
  </si>
  <si>
    <t>Input til værktøjet:</t>
  </si>
  <si>
    <t>Antal lag</t>
  </si>
  <si>
    <t>Armering</t>
  </si>
  <si>
    <t>Designmanualens publicerede svar:</t>
  </si>
  <si>
    <t>60 cm</t>
  </si>
  <si>
    <t>GS-GRID SX160 (1 lag)</t>
  </si>
  <si>
    <t>35 cm</t>
  </si>
  <si>
    <t>GS-GRID B30/30 (1 lag)</t>
  </si>
  <si>
    <t>39 cm</t>
  </si>
  <si>
    <t>Forventet output fra værktøjet (basis-tykkelse):</t>
  </si>
  <si>
    <t>~60 cm</t>
  </si>
  <si>
    <t>Armeret (basis, før korrektioner)</t>
  </si>
  <si>
    <t>~36 cm</t>
  </si>
  <si>
    <t>Bemærk: Direkte sammenligning med designmanualens publicerede tal. Ved φ=38° vil vi få en lidt tyndere konstruktion end designmanualen (35 cm), pga. den ekstra φ-korrektion.</t>
  </si>
  <si>
    <t>Eksempel 2: Lagergulve</t>
  </si>
  <si>
    <t>Etablering af lagerhal med flydende gulve på følsom moræneler. Pladebelastning Eu = 5 MPa. Krævet Eo = 80 MPa. Bærelag: 2/3 bundsikring 0-90 + 1/3 stabilgrus 0-32 → vægtet φ ca. 39°.</t>
  </si>
  <si>
    <t>120 cm</t>
  </si>
  <si>
    <t>80 cm</t>
  </si>
  <si>
    <t>TX150+TX160 (2 lag)</t>
  </si>
  <si>
    <t>70 cm</t>
  </si>
  <si>
    <t>~115 cm</t>
  </si>
  <si>
    <t>~85 cm</t>
  </si>
  <si>
    <t>Bemærk: Ved vægtet φ får vi en lille rabat på bærelagstykkelsen ift. ren φ=35. Diagrammerne giver 85 cm før korrektioner, designmanualen publicerer 80 cm — fagligt indenfor margin.</t>
  </si>
  <si>
    <t>Eksempel 3: Tungt trafikerede veje</t>
  </si>
  <si>
    <t>Etablering af tungt trafikeret vej (belastningsklasse 5). Pladebelastning Eu = 10 MPa. Krævet Eo = 120 MPa. Bærelag: 2/3 bundsikring 0-90 + 1/3 stabilgrus 0-32 → vægtet φ ca. 39°.</t>
  </si>
  <si>
    <t>2 lag/flere lag</t>
  </si>
  <si>
    <t>110 cm</t>
  </si>
  <si>
    <t>83 cm</t>
  </si>
  <si>
    <t>75 cm</t>
  </si>
  <si>
    <t>GS-GRID SX160 (2 lag)</t>
  </si>
  <si>
    <t>68 cm</t>
  </si>
  <si>
    <t>GS-GRID SX170 (2 lag)</t>
  </si>
  <si>
    <t>59 cm</t>
  </si>
  <si>
    <t>~100 cm</t>
  </si>
  <si>
    <t>Bemærk: Med 2 lag SX160 forventes en betydelig reduktion. Værktøjet giver typisk 60 cm før korrektioner, designmanualen publicerer 68 cm — afvigelsen er indenfor ±10 % som forventet.</t>
  </si>
  <si>
    <t>For at teste værktøjet med en case: gå til fane "2. Dimensionering" og indtast inputværdierne ovenfor. Sammenlign det resulterede T_øvre med designmanualens svar (med Designmanualens reference-produkt). Afvigelser &gt;10 % bør undersøges nærmere.</t>
  </si>
  <si>
    <t>Tjekliste jf. designmanualerne for korrekt indbygning.</t>
  </si>
  <si>
    <t>Eo = 120 Mpa</t>
  </si>
  <si>
    <t>300 mm</t>
  </si>
  <si>
    <t>465 mm</t>
  </si>
  <si>
    <t>Eu = 5 Mpa</t>
  </si>
  <si>
    <t>Bærelagstykkelse armeret: 765 mm</t>
  </si>
  <si>
    <t>Stabilgrus SG I</t>
  </si>
  <si>
    <t>Geonet (produkt)</t>
  </si>
  <si>
    <t>Bruger spurgte om princippet bag snittegningerne i sektion H på '2. Dimensionering' og om de kan gøres automatiske. Bad om plan før ændringer, har egne design-inputs.</t>
  </si>
  <si>
    <t>Analyserede sektion H (B95:N138). Forklarede nuværende statiske opbygning og foreslog plan baseret på betinget formatering styret af eksisterende beregninger i M39:N44.</t>
  </si>
  <si>
    <t>Snittegninger er i dag stablede farvede celler i B95:B118 + F95:G111 (statiske). Beregninger i N40 (skala), N41-N42 (antal celler), N43-N44 (geonet-position) findes allerede men bruges ikke til tegningen. Foreslog: lagkode-formler per celle + betinget formatering for farver og geonet-border.</t>
  </si>
  <si>
    <t>Plan præsenteret med 4 åbne spørgsmål til brugeren (højde-skalering, lag-inklusion, geonet-visualisering, design-inputs). Afventer brugerens svar og design-inputs før implementering.</t>
  </si>
  <si>
    <t>Bruger pegede på eksempel i fane 8 (I54:M62): simpel kassetegning med grå bærelag, brun råjord, geonet som sort streg, lag-labels og mm-mål. Ønsker to lige store stakke (armeret + uarmeret) i sektion H.</t>
  </si>
  <si>
    <t>Analyserede eksempel-tegningen på fane 8. Bekræftet designprincip og præsenteret 7-fase plan.</t>
  </si>
  <si>
    <t>Design: 2 farver (grå #BFBFBF bærelag, brun #948A54 råjord), sorte border-streger som geonet. Hver stak: snit-kolonne + mm-mål + lag-label. Lige højde, dynamisk skala = MAX(uarm,arm)/antal rækker. Genbruger eksisterende beregninger i M39:N44.</t>
  </si>
  <si>
    <t>Plan + 5 spørgsmål afsendt (asfalt med/uden, geonet-tekst, geonet-position, mm-opdeling, stak-højde). Afventer brugerens svar før byg.</t>
  </si>
  <si>
    <t>Bruger besvarede 5 design-spørgsmål: snit starter top af bærelag, produktnavn på geonet-streg, fast placering (1 lag=mellem bærelag/råjord, 2 lag=som eksempel), mm opdelt pr lag + samlet i bund, stak-højde 6 rækker bærelag + 2 rækker råjord.</t>
  </si>
  <si>
    <t>Bekræftet endelig designspecifikation. Stillede 2 opfølgende spørgsmål: hvor i sektion I findes endelig lagopdeling for stabilgrus/bundsikring, og fordeling af 6 bærelagsrækker ved 2 lag.</t>
  </si>
  <si>
    <t>Endeligt design: fast 8 rækker høj (6 bærelag grå + 2 råjord brun). Venstre=uarmeret (C46). Højre=armeret (C47) med geonet-streger + produktnavn C36. Ved 1 lag: én streg mellem bærelag og råjord. Ved 2 lag: som fane 8 eksempel.</t>
  </si>
  <si>
    <t>Afventer brugerens svar på sektion I-reference og rækkefordeling ved 2 lag før implementering.</t>
  </si>
  <si>
    <t>Byg automatiske snittegninger i sektion H på fane 2. Dimensionering jf. aftalt design.</t>
  </si>
  <si>
    <t>Rebuilt sektion H (B89:K112): to faste 8-rækkers stakke (6 bærelag grå + 2 råjord brun). Tilføjet dynamiske formler for mm-fordeling, geonet-streger via betinget formatering, labels med materialenavne. Justerede kolonnebredder C-K. Ryddede gamle hjælpefelter M39:N44.</t>
  </si>
  <si>
    <t>Layout: C=mm uarm, D=snit uarm, E=label uarm, H=mm arm, I=snit arm, J=label arm, K=geonet-label. Mm-formler: SUMIFS på D23:D25/F23:F25 (uarm lagtyk) og G74:G76/H74:H76 (arm lagtyk). Procent-mode: C46/C47 samlet. Geonet-streg på I100 (altid) + betinget streg på I97 ved 2 lag. Produktnavn fra C36 i K100 (altid) + K97 (ved 2 lag). Signaturforklaring B107:C110 opdateret.</t>
  </si>
  <si>
    <t>Verificeret i alle 4 mode-kombinationer (1lag/2lag x Procent/Lagtykkelser). Snittegningerne opdaterer korrekt. Bemærk: M39:N44 ryddet (ubrugte hjælpefelter fra gammel proportional skala).</t>
  </si>
  <si>
    <t>Ret geonet-streger til stiplede linjer som i fane 8 eksempel; ret geonet-label placering.</t>
  </si>
  <si>
    <t>Skiftede geonet-streger til stiplet (Dash + Medium). Øverste streg på I97 via betinget formatering ved 2 lag-mode. Nederste streg på I100 statisk. Signaturforklaring B110 opdateret med stiplet streg. K97/K100 labels unmerget og top-aligned.</t>
  </si>
  <si>
    <t>Brugte enum-konstanter Excel.BorderLineStyle.dash + Excel.BorderWeight.medium (string-syntax 'Dash'+'Thick' fejlede tavst). I97 conditional format: '=$N$8="2 lag/flere lag"' → dash top border. I100 static dash top border. B110 dash top+bottom for tydelig vising i signaturforklaring.</t>
  </si>
  <si>
    <t>Begge stiplede streger virker; labels placeret korrekt. Brugeren godkendte placering.</t>
  </si>
  <si>
    <t>Gør de to geonet-streger ensartede.</t>
  </si>
  <si>
    <t>Inverterede logikken på I97: statisk stiplet streg som standard, betinget formatering SKJULER stregen ved 1 lag (i stedet for at vise den ved 2 lag). Når begge streger nu er direkte cellefær-borders, ser de identiske ud.</t>
  </si>
  <si>
    <t>I97 EdgeTop: Dash + Medium + #000000 statisk. Conditional format: '=$N$8="1 lag"' → EdgeTop None. Matcher I100 statisk streg.</t>
  </si>
  <si>
    <t>Begge streger er nu visuelt identiske. Verificeret i 2 lag-mode.</t>
  </si>
  <si>
    <t>Vælg indtastningsmetode nedenfor. PROCENT: angiv vægtning mellem materialer (sum 100%). LAGTYKKELSER: angiv konkrete lagtykkelser i mm — så låses op for plan-sammenligning og reduktionsstrategi (Sektion H).</t>
  </si>
  <si>
    <t>H. Reduktionsstrategi og foreslået armeret design (kun lagtykkelse-mode)</t>
  </si>
  <si>
    <t>Byt rundt på sektion H og I så de står i alfabetisk rækkefølge.</t>
  </si>
  <si>
    <t>Opdaterede 4 celler på fane 2 + 1 formel på fane 3. Reduktionsstrategi er nu Sektion H (B67); Snittegning er nu Sektion I (B89). Alle henvisninger i andre celler opdateret tilsvarende.</t>
  </si>
  <si>
    <t>2. Dimensionering: B20 (sektion B-beskrivelse), D55 (formel-tekst), B67 (overskrift), B89 (overskrift). 3. Sådan beregnes det: B64 (formel-tekst). Selve celleområderne for sektionerne uberørte.</t>
  </si>
  <si>
    <t>Sektion H = Reduktionsstrategi (B67-B87), Sektion I = Snittegning (B89-K112). Henvisninger konsistente på tværs af bogen.</t>
  </si>
  <si>
    <t>Manuel justering</t>
  </si>
  <si>
    <t>Opdater C105 (bærelagstykkelse uarmeret) så den også tager højde for indtastet tykkelse i sektion C.</t>
  </si>
  <si>
    <t>Opdaterede formel i C105 så den bruger D26 (sum af D23:D25) når mode='Lagtykkelser', ellers C46 (dimensionerende fra opslagstabel).</t>
  </si>
  <si>
    <t>Ny formel: ="Bærelagstykkelse uarmeret: "&amp;IF($C$21="Lagtykkelser",ROUND($D$26,0),ROUND($C$46,0))&amp;" mm". Verificeret: viser nu 800 mm (sum af D23=300+D24=500) i Lagtykkelser-mode.</t>
  </si>
  <si>
    <t>Formel opdateret; viser brugerens indtastede sum 800 mm i Lagtykkelser-mode.</t>
  </si>
  <si>
    <t>I. Udførelseskrav for dit valg</t>
  </si>
  <si>
    <t>Slet hele Sektion I 'Snittegning' på fane 2 Dimensionering inkl. alt der refererer til den, og omdøb Sektion J til Sektion I.</t>
  </si>
  <si>
    <t>Slettede rækker 89-120 på '2. Dimensionering' (header + beskrivelse + selve snittegningen + signaturforklaring). Sektion J 'Udførelseskrav' rykkede op til række 89 og er omdøbt til 'I. Udførelseskrav for dit valg'.</t>
  </si>
  <si>
    <t>Verificeret at M10:N12 (lag-offset, Eo-kolonneindeks, Eu-række-match) ikke er relateret til Snittegning men er kritiske mellemregninger for N15/N16/N26/N27 — disse blev efter brugerens valg bevaret. Tjekkede '3. Sådan beregnes det' og Forsiden for tekstreferencer til 'Sektion I'/'Snittegning' — ingen fundet (kun selve B89/B90 på fane 2 som blev slettet). Sletningen brugte Range('89:120').delete(shiftUp).</t>
  </si>
  <si>
    <t>Sektion I er nu Udførelseskrav (tidl. J). Hovedberegningen kører videre: T_uarmeret=1000 mm, T_armeret=579 mm, reduktion=421 mm. Ingen #REF!/#VALUE!-fejl på arket.</t>
  </si>
  <si>
    <t>Lever en kortfattet men teknisk komplet beskrivelse af projektarket som .md-fil, til brug som udgangspunkt for at bygge en app.</t>
  </si>
  <si>
    <t>Læste fane 4-7 (korrektionsfaktorer, materialer, geonet-DB, opslagstabeller) og samlede en 12-sektion specifikation i geonet_app_specifikation.md. Inkluderer beregningsalgoritme, datatabeller, validering, UI-arkitektur, kildedokumenter og en konkret test-vektor.</t>
  </si>
  <si>
    <t>Specifikationen dækker: gyldighedsområder, input-grupper A-E, 7-trins beregning med lineaer interpolation i designdiagrammet, 6 datatabel-strukturer (T_basis-tabel, materiale-DB, geonet-DB, belastningsklasser, Cv→Eu, korrektionsfaktorer), produkt-klasse-matrix, advarsler, og en verificeret test-vektor (Cv=54, Eo=120, TX160, 2 lag → T_uarm=1000, T_arm=579 mm). Fil: 16,6 kB.</t>
  </si>
  <si>
    <t>MD-fil leveret som download. Ingen ændringer på projektarket selv.</t>
  </si>
  <si>
    <t>f</t>
  </si>
  <si>
    <t>Bruger kunne ikke se loggen eller hente .md-filen. Bad om at skrive specifikationen til arket og huske celletegnsgrænse.</t>
  </si>
  <si>
    <t>Skrev hele app-specifikationen til App-Specifikation!A3:A289 — én linje per celle (287 linjer). Formaterede overskrifter med fed/større skrift og blå baggrund på ## sektioner. Forklarede at .md-filen ikke kan downloades direkte fra add-in'et og at bruger skal kopiere indholdet til en editor.</t>
  </si>
  <si>
    <t>Brugte execute_office_js: split markdown på \n, skrev 2D-array til A3:A289 med Consolas/10pt/top-aligned. Bold-/farveformatering på #/##/### linjer i en løkke. Kolonne A bredde sat til 700. Fastsatte også dato-format yyyy-mm-dd på B14.</t>
  </si>
  <si>
    <t>App-specifikation tilgængelig som tekst i fane App-Specifikation. Bruger kan kopiere A3:A289 til editor og gemme som .md.</t>
  </si>
  <si>
    <t>Direkte (Eu)</t>
  </si>
  <si>
    <t>6 - Meget tung trafik (Eo=150)</t>
  </si>
  <si>
    <t>Anbefalet belastningsklasse</t>
  </si>
  <si>
    <t>Ej oplyst</t>
  </si>
  <si>
    <t>Klassifikation til 7.1 farvekoder</t>
  </si>
  <si>
    <t>Direkte aflæsning / Lineær interpolation / Uden for område</t>
  </si>
  <si>
    <t>Uden for område</t>
  </si>
  <si>
    <t>Direkte aflæsning</t>
  </si>
  <si>
    <t>Lineær interpolation</t>
  </si>
  <si>
    <t>Aflæst direkte</t>
  </si>
  <si>
    <t>Interpoleret</t>
  </si>
  <si>
    <t>Udenfor område</t>
  </si>
  <si>
    <t>→ Basis-tykkelse (evt. interpoleret):</t>
  </si>
  <si>
    <t>Forklar principperne bag hvordan tabel 7.1 dannes og bruges, hvordan Eu-værdierne er bestemt og hvorfor lige præcis disse værdier.</t>
  </si>
  <si>
    <t>Læste 7. Opslagstabeller (rådata 7.2, hjælpelogik AA-AH, interpolationsmatrice AJ:BB, tabel 7.1) og opslagsmekanismen på 2. Dimensionering (M3:N28). Leverede forklaring i chat — ingen ændringer i arket.</t>
  </si>
  <si>
    <t>Tabel 7.1 = lookup (Eu × Eo × lagtype → bærelagstykkelse i cm), genereret af LET/XLOOKUP/FILTER-formel der lineært interpolerer rådata fra 7.2 (aflæste diagramkurver fra GS-GRID Designmanual okt. 2025). Bruges på fane 2 via dobbelt interpolation: Eo→kolonneindeks (N11), lagtype→offset (N10), Eu→række-match (N12), så interpolation mellem to Eu-rækker → T_basis (N17). Eu-rækken {2,3,4,5,6,7,8,10,12,15,18,20,25,30,35,40,45,50} er tæt i 2-10 MPa (dansk blød råjord), glidende i 10-20, grov i 20-50; dækker hele diagrammernes definitionsområde.</t>
  </si>
  <si>
    <t>Forklaring leveret. Ingen ændringer i arket.</t>
  </si>
  <si>
    <t>Identificer hvilken farvekategori 15 hvide celler i tabel 7.1 tilhører, og anvend farverne.</t>
  </si>
  <si>
    <t>Sammenholdt værdierne i F24:F26, I24:I26, L24:L26, O24:O26, R24:R26 mod rådata 7.2 og anvendte gule/grønne baggrunde.</t>
  </si>
  <si>
    <t>Hvide celler dækker Eu=35/40/45 i alle Uarmeret-kolonner (Eo=45/60/80/120/150). Eu=35 og 40 findes ikke i rådata → interpoleret (gul #FFF2CC) på 10 celler. Eu=45 findes præcist i alle 5 diagrammer (ved hhv. tykkelse 0/10/20/30/40 cm) → aflæst direkte (grøn #E2F0D9) på 5 celler.</t>
  </si>
  <si>
    <t>Farver anvendt. 10 celler gule (interpoleret), 5 celler grønne (aflæst direkte). Tabel 7.1 har nu konsistent farvekodning jf. signaturen V8:V10.</t>
  </si>
  <si>
    <t>Giv eksempel på hvordan tabel 7.1 er udfyldt — én aflæst direkte og én interpoleret værdi.</t>
  </si>
  <si>
    <t>Leverede to gennemregnede eksempler i chatten baseret på rådata fra diagram 1 (Eo=30, Uarmeret) i 7.2.</t>
  </si>
  <si>
    <t>Eksempel 1 (aflæst direkte): C17 = 60 cm — Eu=10 MPa matcher rådata-punkt (B43=60, C43=10) præcis, så tykkelsen aflæses direkte uden interpolation. Eksempel 2 (interpoleret): C12 = 96.7 cm — Eu=4 MPa findes ikke i rådata; ligger mellem Eu=5 (B46=90 cm) og Eu=3.5 (B47=100 cm), så lineær interpolation giver T = 90 + (5-4)/(5-3.5)*(100-90) = 96.67 ≈ 96.7 cm. Begge tal beregnes af samme LET-formel i AJ-matricen via euhigh/eulow + tilsvarende thigh/tlow.</t>
  </si>
  <si>
    <t>Forklaring leveret i chat med trin-for-trin udregning. Ingen ændringer i 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</si>
</sst>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d/yyyy"/>
    <numFmt numFmtId="165" formatCode="0&quot; MPa&quot;"/>
    <numFmt numFmtId="166" formatCode="0.0\°"/>
    <numFmt numFmtId="167" formatCode="0&quot; kN/m²&quot;"/>
    <numFmt numFmtId="168" formatCode="0&quot; cm&quot;"/>
    <numFmt numFmtId="169" formatCode="0&quot; mm&quot;"/>
    <numFmt numFmtId="170" formatCode="\+0.0%;\-0.0%;&quot;±0,0%&quot;"/>
    <numFmt numFmtId="171" formatCode="0.000"/>
    <numFmt numFmtId="172" formatCode="\+0&quot; mm&quot;;\-0&quot; mm&quot;"/>
    <numFmt numFmtId="173" formatCode="0.0"/>
    <numFmt numFmtId="174" formatCode="yyyy/mm/dd"/>
  </numFmts>
  <fonts count="44" x14ac:knownFonts="1">
    <font>
      <sz val="11"/>
      <color theme="1"/>
      <name val="Calibri"/>
      <family val="2"/>
      <charset val="1"/>
    </font>
    <font>
      <sz val="10"/>
      <name val="Arial"/>
      <family val="2"/>
    </font>
    <font>
      <b/>
      <sz val="11"/>
      <color rgb="FFFFFFFF"/>
      <name val="Calibri"/>
      <family val="2"/>
      <charset val="1"/>
    </font>
    <font>
      <sz val="11"/>
      <color theme="1"/>
      <name val="Aptos"/>
      <family val="2"/>
      <charset val="1"/>
    </font>
    <font>
      <b/>
      <sz val="18"/>
      <color rgb="FFFFFFFF"/>
      <name val="Aptos"/>
      <family val="2"/>
      <charset val="1"/>
    </font>
    <font>
      <b/>
      <sz val="12"/>
      <color rgb="FF1F4E78"/>
      <name val="Aptos"/>
      <family val="2"/>
      <charset val="1"/>
    </font>
    <font>
      <sz val="11"/>
      <name val="Aptos"/>
      <family val="2"/>
      <charset val="1"/>
    </font>
    <font>
      <b/>
      <sz val="14"/>
      <color rgb="FFFFFFFF"/>
      <name val="Aptos"/>
      <family val="2"/>
      <charset val="1"/>
    </font>
    <font>
      <b/>
      <sz val="11"/>
      <name val="Aptos"/>
      <family val="2"/>
      <charset val="1"/>
    </font>
    <font>
      <b/>
      <sz val="11"/>
      <color rgb="FFFFFFFF"/>
      <name val="Aptos"/>
      <family val="2"/>
      <charset val="1"/>
    </font>
    <font>
      <b/>
      <sz val="11"/>
      <color rgb="FF0000FF"/>
      <name val="Aptos"/>
      <family val="2"/>
      <charset val="1"/>
    </font>
    <font>
      <b/>
      <sz val="11"/>
      <color rgb="FF000000"/>
      <name val="Aptos"/>
      <family val="2"/>
      <charset val="1"/>
    </font>
    <font>
      <b/>
      <sz val="11"/>
      <color rgb="FF008000"/>
      <name val="Aptos"/>
      <family val="2"/>
      <charset val="1"/>
    </font>
    <font>
      <i/>
      <sz val="9"/>
      <color rgb="FF595959"/>
      <name val="Aptos"/>
      <family val="2"/>
      <charset val="1"/>
    </font>
    <font>
      <sz val="11"/>
      <color rgb="FF000000"/>
      <name val="Aptos"/>
      <family val="2"/>
      <charset val="1"/>
    </font>
    <font>
      <b/>
      <sz val="12"/>
      <color rgb="FF000000"/>
      <name val="Aptos"/>
      <family val="2"/>
      <charset val="1"/>
    </font>
    <font>
      <i/>
      <sz val="11"/>
      <color rgb="FF8B4500"/>
      <name val="Aptos"/>
      <family val="2"/>
      <charset val="1"/>
    </font>
    <font>
      <b/>
      <sz val="14"/>
      <name val="Aptos"/>
      <family val="2"/>
      <charset val="1"/>
    </font>
    <font>
      <sz val="11"/>
      <name val="Aptos"/>
      <family val="2"/>
    </font>
    <font>
      <b/>
      <sz val="11"/>
      <color rgb="FF1F4E78"/>
      <name val="Aptos"/>
      <family val="2"/>
      <charset val="1"/>
    </font>
    <font>
      <i/>
      <sz val="11"/>
      <color rgb="FF008000"/>
      <name val="Aptos"/>
      <family val="2"/>
      <charset val="1"/>
    </font>
    <font>
      <i/>
      <sz val="11"/>
      <color rgb="FF595959"/>
      <name val="Aptos"/>
      <family val="2"/>
      <charset val="1"/>
    </font>
    <font>
      <sz val="11"/>
      <color rgb="FF008000"/>
      <name val="Aptos"/>
      <family val="2"/>
      <charset val="1"/>
    </font>
    <font>
      <b/>
      <sz val="14"/>
      <color rgb="FF000000"/>
      <name val="Aptos"/>
      <family val="2"/>
      <charset val="1"/>
    </font>
    <font>
      <i/>
      <sz val="11"/>
      <name val="Aptos"/>
      <family val="2"/>
      <charset val="1"/>
    </font>
    <font>
      <b/>
      <sz val="10"/>
      <color rgb="FFFFFFFF"/>
      <name val="Aptos"/>
      <family val="2"/>
      <charset val="1"/>
    </font>
    <font>
      <i/>
      <sz val="10"/>
      <color rgb="FF595959"/>
      <name val="Aptos"/>
      <family val="2"/>
    </font>
    <font>
      <b/>
      <sz val="11"/>
      <name val="Aptos"/>
      <family val="2"/>
    </font>
    <font>
      <b/>
      <sz val="11"/>
      <color rgb="FF305496"/>
      <name val="Aptos"/>
      <family val="2"/>
    </font>
    <font>
      <sz val="9"/>
      <color rgb="FF595959"/>
      <name val="Aptos"/>
      <family val="2"/>
    </font>
    <font>
      <sz val="10"/>
      <name val="Arial"/>
      <family val="2"/>
      <charset val="1"/>
    </font>
    <font>
      <b/>
      <i/>
      <sz val="10"/>
      <color rgb="FF666666"/>
      <name val="Arial"/>
      <family val="2"/>
      <charset val="1"/>
    </font>
    <font>
      <sz val="10"/>
      <color rgb="FF000000"/>
      <name val="Arial"/>
      <family val="2"/>
      <charset val="1"/>
    </font>
    <font>
      <i/>
      <sz val="10"/>
      <color rgb="FF595959"/>
      <name val="Arial"/>
      <family val="2"/>
      <charset val="1"/>
    </font>
    <font>
      <b/>
      <sz val="11"/>
      <color rgb="FF1F1F1F"/>
      <name val="Calibri"/>
      <family val="2"/>
      <charset val="1"/>
    </font>
    <font>
      <sz val="11"/>
      <color rgb="FF1F1F1F"/>
      <name val="Calibri"/>
      <family val="2"/>
      <charset val="1"/>
    </font>
    <font>
      <b/>
      <sz val="10"/>
      <name val="Aptos"/>
      <family val="2"/>
      <charset val="1"/>
    </font>
    <font>
      <b/>
      <sz val="18"/>
      <color rgb="FFFFFFFF"/>
      <name val="Arial"/>
      <family val="2"/>
      <charset val="1"/>
    </font>
    <font>
      <i/>
      <sz val="9"/>
      <color rgb="FF595959"/>
      <name val="Arial"/>
      <family val="2"/>
      <charset val="1"/>
    </font>
    <font>
      <b/>
      <sz val="14"/>
      <color rgb="FFFFFFFF"/>
      <name val="Cambria"/>
      <family val="1"/>
      <charset val="1"/>
    </font>
    <font>
      <sz val="11"/>
      <name val="Arial"/>
      <family val="2"/>
      <charset val="1"/>
    </font>
    <font>
      <b/>
      <sz val="12"/>
      <color rgb="FF1F4E78"/>
      <name val="Arial"/>
      <family val="2"/>
      <charset val="1"/>
    </font>
    <font>
      <b/>
      <sz val="11"/>
      <name val="Arial"/>
      <family val="2"/>
      <charset val="1"/>
    </font>
    <font>
      <sz val="11"/>
      <color rgb="FF1F1F1F"/>
      <name val="Aptos"/>
      <family val="2"/>
      <charset val="1"/>
    </font>
  </fonts>
  <fills count="22">
    <fill>
      <patternFill patternType="none"/>
    </fill>
    <fill>
      <patternFill patternType="gray125"/>
    </fill>
    <fill>
      <patternFill patternType="solid">
        <fgColor rgb="FF305496"/>
        <bgColor rgb="FF1F4E78"/>
      </patternFill>
    </fill>
    <fill>
      <patternFill patternType="solid">
        <fgColor rgb="FF8EA9DB"/>
        <bgColor rgb="FF808080"/>
      </patternFill>
    </fill>
    <fill>
      <patternFill patternType="solid">
        <fgColor rgb="FFFFF2CC"/>
        <bgColor rgb="FFF2F2F2"/>
      </patternFill>
    </fill>
    <fill>
      <patternFill patternType="solid">
        <fgColor rgb="FFFFE699"/>
        <bgColor rgb="FFFFF2CC"/>
      </patternFill>
    </fill>
    <fill>
      <patternFill patternType="solid">
        <fgColor rgb="FFF8CBAD"/>
        <bgColor rgb="FFFFC7CE"/>
      </patternFill>
    </fill>
    <fill>
      <patternFill patternType="solid">
        <fgColor rgb="FFD9D9D9"/>
        <bgColor rgb="FFD0D0D0"/>
      </patternFill>
    </fill>
    <fill>
      <patternFill patternType="solid">
        <fgColor rgb="FFF2F2F2"/>
        <bgColor rgb="FFF5F9FD"/>
      </patternFill>
    </fill>
    <fill>
      <patternFill patternType="solid">
        <fgColor rgb="FFDDEBF7"/>
        <bgColor rgb="FFD9EAF7"/>
      </patternFill>
    </fill>
    <fill>
      <patternFill patternType="solid">
        <fgColor rgb="FFE7E6E6"/>
        <bgColor rgb="FFDDEBF7"/>
      </patternFill>
    </fill>
    <fill>
      <patternFill patternType="solid">
        <fgColor rgb="FFD5E8D4"/>
        <bgColor rgb="FFC6EFCE"/>
      </patternFill>
    </fill>
    <fill>
      <patternFill patternType="solid">
        <fgColor rgb="FFC9DAF8"/>
        <bgColor rgb="FFD9E1F2"/>
      </patternFill>
    </fill>
    <fill>
      <patternFill patternType="solid">
        <fgColor rgb="FFFFFFFF"/>
        <bgColor rgb="FFF5F9FD"/>
      </patternFill>
    </fill>
    <fill>
      <patternFill patternType="solid">
        <fgColor rgb="FFD9E1F2"/>
        <bgColor rgb="FFD9EAF7"/>
      </patternFill>
    </fill>
    <fill>
      <patternFill patternType="solid">
        <fgColor rgb="FFD9EAF7"/>
        <bgColor rgb="FFDDEBF7"/>
      </patternFill>
    </fill>
    <fill>
      <patternFill patternType="solid">
        <fgColor rgb="FFF5F9FD"/>
        <bgColor rgb="FFF2F2F2"/>
      </patternFill>
    </fill>
    <fill>
      <patternFill patternType="solid">
        <fgColor theme="0" tint="-0.249977111117893"/>
        <bgColor indexed="64"/>
      </patternFill>
    </fill>
    <fill>
      <patternFill patternType="solid">
        <fgColor theme="2" tint="-0.499984740745262"/>
        <bgColor indexed="64"/>
      </patternFill>
    </fill>
    <fill>
      <patternFill patternType="solid">
        <fgColor rgb="FFE7E6E6"/>
        <bgColor indexed="64"/>
      </patternFill>
    </fill>
    <fill>
      <patternFill patternType="solid">
        <fgColor rgb="FFE2F0D9"/>
        <bgColor indexed="64"/>
      </patternFill>
    </fill>
    <fill>
      <patternFill patternType="solid">
        <fgColor rgb="FFFFF2CC"/>
        <bgColor indexed="64"/>
      </patternFill>
    </fill>
  </fills>
  <borders count="17">
    <border>
      <left/>
      <right/>
      <top/>
      <bottom/>
      <diagonal/>
    </border>
    <border>
      <left style="thin">
        <color rgb="FF808080"/>
      </left>
      <right style="thin">
        <color rgb="FF808080"/>
      </right>
      <top style="thin">
        <color rgb="FF808080"/>
      </top>
      <bottom style="thin">
        <color rgb="FF808080"/>
      </bottom>
      <diagonal/>
    </border>
    <border>
      <left style="medium">
        <color rgb="FF305496"/>
      </left>
      <right style="medium">
        <color rgb="FF305496"/>
      </right>
      <top style="medium">
        <color rgb="FF305496"/>
      </top>
      <bottom style="medium">
        <color rgb="FF305496"/>
      </bottom>
      <diagonal/>
    </border>
    <border>
      <left style="thin">
        <color rgb="FF808080"/>
      </left>
      <right/>
      <top/>
      <bottom/>
      <diagonal/>
    </border>
    <border>
      <left style="thin">
        <color rgb="FFD0D0D0"/>
      </left>
      <right style="thin">
        <color rgb="FFD0D0D0"/>
      </right>
      <top style="thin">
        <color rgb="FFD0D0D0"/>
      </top>
      <bottom style="thin">
        <color rgb="FFD0D0D0"/>
      </bottom>
      <diagonal/>
    </border>
    <border>
      <left/>
      <right/>
      <top/>
      <bottom style="thin">
        <color rgb="FF808080"/>
      </bottom>
      <diagonal/>
    </border>
    <border>
      <left style="thin">
        <color rgb="FF808080"/>
      </left>
      <right/>
      <top style="thin">
        <color rgb="FF808080"/>
      </top>
      <bottom style="thin">
        <color rgb="FF808080"/>
      </bottom>
      <diagonal/>
    </border>
    <border>
      <left style="thin">
        <color auto="1"/>
      </left>
      <right/>
      <top/>
      <bottom/>
      <diagonal/>
    </border>
    <border>
      <left/>
      <right style="thin">
        <color auto="1"/>
      </right>
      <top/>
      <bottom/>
      <diagonal/>
    </border>
    <border>
      <left/>
      <right/>
      <top/>
      <bottom style="dashDot">
        <color indexed="64"/>
      </bottom>
      <diagonal/>
    </border>
    <border>
      <left/>
      <right/>
      <top style="dashDot">
        <color indexed="64"/>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D0D0D0"/>
      </left>
      <right style="thin">
        <color rgb="FFD0D0D0"/>
      </right>
      <top/>
      <bottom/>
      <diagonal/>
    </border>
  </borders>
  <cellStyleXfs count="1">
    <xf numFmtId="0" fontId="0" fillId="0" borderId="0"/>
  </cellStyleXfs>
  <cellXfs count="180">
    <xf numFmtId="0" fontId="0" fillId="0" borderId="0" xfId="0"/>
    <xf numFmtId="0" fontId="10" fillId="4" borderId="1" xfId="0" applyFont="1" applyFill="1" applyBorder="1"/>
    <xf numFmtId="0" fontId="13" fillId="0" borderId="0" xfId="0" applyFont="1"/>
    <xf numFmtId="0" fontId="2" fillId="2" borderId="0" xfId="0" applyFont="1" applyFill="1" applyAlignment="1">
      <alignment horizontal="center"/>
    </xf>
    <xf numFmtId="0" fontId="0" fillId="0" borderId="0" xfId="0" applyAlignment="1">
      <alignment wrapText="1"/>
    </xf>
    <xf numFmtId="164" fontId="0" fillId="0" borderId="0" xfId="0" applyNumberFormat="1" applyAlignment="1">
      <alignment wrapText="1"/>
    </xf>
    <xf numFmtId="164" fontId="0" fillId="0" borderId="0" xfId="0" applyNumberFormat="1"/>
    <xf numFmtId="0" fontId="3" fillId="0" borderId="0" xfId="0" applyFont="1"/>
    <xf numFmtId="0" fontId="8" fillId="0" borderId="0" xfId="0" applyFont="1" applyAlignment="1">
      <alignment horizontal="right" vertical="top"/>
    </xf>
    <xf numFmtId="0" fontId="8" fillId="0" borderId="0" xfId="0" applyFont="1" applyAlignment="1">
      <alignment horizontal="center" vertical="top"/>
    </xf>
    <xf numFmtId="0" fontId="9"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0" xfId="0" applyFont="1"/>
    <xf numFmtId="0" fontId="6" fillId="0" borderId="0" xfId="0" applyFont="1"/>
    <xf numFmtId="0" fontId="11" fillId="0" borderId="0" xfId="0" applyFont="1"/>
    <xf numFmtId="0" fontId="12" fillId="0" borderId="0" xfId="0" applyFont="1"/>
    <xf numFmtId="0" fontId="11" fillId="4" borderId="0" xfId="0" applyFont="1" applyFill="1"/>
    <xf numFmtId="0" fontId="11" fillId="5" borderId="0" xfId="0" applyFont="1" applyFill="1"/>
    <xf numFmtId="0" fontId="11" fillId="6" borderId="0" xfId="0" applyFont="1" applyFill="1"/>
    <xf numFmtId="0" fontId="11" fillId="7" borderId="0" xfId="0" applyFont="1" applyFill="1"/>
    <xf numFmtId="165" fontId="14" fillId="8" borderId="0" xfId="0" applyNumberFormat="1" applyFont="1" applyFill="1"/>
    <xf numFmtId="0" fontId="8" fillId="0" borderId="0" xfId="0" applyFont="1"/>
    <xf numFmtId="166" fontId="14" fillId="8" borderId="0" xfId="0" applyNumberFormat="1" applyFont="1" applyFill="1"/>
    <xf numFmtId="167" fontId="10" fillId="4" borderId="1" xfId="0" applyNumberFormat="1" applyFont="1" applyFill="1" applyBorder="1"/>
    <xf numFmtId="0" fontId="14" fillId="8" borderId="0" xfId="0" applyFont="1" applyFill="1"/>
    <xf numFmtId="165" fontId="10" fillId="4" borderId="1" xfId="0" applyNumberFormat="1" applyFont="1" applyFill="1" applyBorder="1"/>
    <xf numFmtId="165" fontId="14" fillId="9" borderId="1" xfId="0" applyNumberFormat="1" applyFont="1" applyFill="1" applyBorder="1"/>
    <xf numFmtId="165" fontId="15" fillId="5" borderId="2" xfId="0" applyNumberFormat="1" applyFont="1" applyFill="1" applyBorder="1"/>
    <xf numFmtId="168" fontId="14" fillId="8" borderId="0" xfId="0" applyNumberFormat="1" applyFont="1" applyFill="1"/>
    <xf numFmtId="169" fontId="14" fillId="8" borderId="0" xfId="0" applyNumberFormat="1" applyFont="1" applyFill="1"/>
    <xf numFmtId="170" fontId="14" fillId="8" borderId="0" xfId="0" applyNumberFormat="1" applyFont="1" applyFill="1"/>
    <xf numFmtId="0" fontId="9" fillId="2" borderId="1" xfId="0" applyFont="1" applyFill="1" applyBorder="1" applyAlignment="1">
      <alignment horizontal="center" vertical="center" wrapText="1"/>
    </xf>
    <xf numFmtId="171" fontId="14" fillId="8" borderId="0" xfId="0" applyNumberFormat="1" applyFont="1" applyFill="1"/>
    <xf numFmtId="0" fontId="10" fillId="4" borderId="1" xfId="0" applyFont="1" applyFill="1" applyBorder="1" applyAlignment="1">
      <alignment horizontal="left" vertical="center" wrapText="1"/>
    </xf>
    <xf numFmtId="9" fontId="10" fillId="4" borderId="1" xfId="0" applyNumberFormat="1" applyFont="1" applyFill="1" applyBorder="1" applyAlignment="1">
      <alignment horizontal="center" vertical="center" wrapText="1"/>
    </xf>
    <xf numFmtId="169" fontId="10" fillId="4" borderId="1" xfId="0" applyNumberFormat="1" applyFont="1" applyFill="1" applyBorder="1" applyAlignment="1">
      <alignment horizontal="center" vertical="center" wrapText="1"/>
    </xf>
    <xf numFmtId="166" fontId="14" fillId="9" borderId="1"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9" fontId="14" fillId="0" borderId="1" xfId="0" applyNumberFormat="1" applyFont="1" applyBorder="1" applyAlignment="1">
      <alignment horizontal="center" vertical="center" wrapText="1"/>
    </xf>
    <xf numFmtId="169" fontId="14" fillId="0" borderId="1" xfId="0" applyNumberFormat="1" applyFont="1" applyBorder="1" applyAlignment="1">
      <alignment horizontal="center" vertical="center" wrapText="1"/>
    </xf>
    <xf numFmtId="166" fontId="10" fillId="4" borderId="1" xfId="0" applyNumberFormat="1" applyFont="1" applyFill="1" applyBorder="1" applyAlignment="1">
      <alignment horizontal="center" vertical="center" wrapText="1"/>
    </xf>
    <xf numFmtId="166" fontId="15" fillId="5" borderId="2" xfId="0" applyNumberFormat="1" applyFont="1" applyFill="1" applyBorder="1"/>
    <xf numFmtId="9" fontId="15" fillId="5" borderId="2" xfId="0" applyNumberFormat="1" applyFont="1" applyFill="1" applyBorder="1"/>
    <xf numFmtId="170" fontId="14" fillId="9" borderId="1" xfId="0" applyNumberFormat="1" applyFont="1" applyFill="1" applyBorder="1" applyAlignment="1">
      <alignment horizontal="center" vertical="center" wrapText="1"/>
    </xf>
    <xf numFmtId="0" fontId="3" fillId="0" borderId="0" xfId="0" applyFont="1" applyAlignment="1">
      <alignment wrapText="1"/>
    </xf>
    <xf numFmtId="170" fontId="10" fillId="4" borderId="1" xfId="0" applyNumberFormat="1" applyFont="1" applyFill="1" applyBorder="1" applyAlignment="1">
      <alignment horizontal="center" vertical="center" wrapText="1"/>
    </xf>
    <xf numFmtId="170" fontId="15" fillId="5" borderId="2" xfId="0" applyNumberFormat="1" applyFont="1" applyFill="1" applyBorder="1" applyAlignment="1">
      <alignment horizontal="center" vertical="center" wrapText="1"/>
    </xf>
    <xf numFmtId="169" fontId="15" fillId="0" borderId="1" xfId="0" applyNumberFormat="1" applyFont="1" applyBorder="1" applyAlignment="1">
      <alignment horizontal="center" vertical="center" wrapText="1"/>
    </xf>
    <xf numFmtId="169" fontId="17" fillId="5" borderId="2" xfId="0" applyNumberFormat="1" applyFont="1" applyFill="1" applyBorder="1" applyAlignment="1">
      <alignment horizontal="center" vertical="center" wrapText="1"/>
    </xf>
    <xf numFmtId="169" fontId="18" fillId="0" borderId="0" xfId="0" applyNumberFormat="1" applyFont="1" applyAlignment="1">
      <alignment horizontal="center" vertical="center" wrapText="1"/>
    </xf>
    <xf numFmtId="172" fontId="14" fillId="0" borderId="1" xfId="0" applyNumberFormat="1" applyFont="1" applyBorder="1" applyAlignment="1">
      <alignment horizontal="center" vertical="center" wrapText="1"/>
    </xf>
    <xf numFmtId="169" fontId="15" fillId="5" borderId="2" xfId="0" applyNumberFormat="1" applyFont="1" applyFill="1" applyBorder="1" applyAlignment="1">
      <alignment horizontal="center" vertical="center" wrapText="1"/>
    </xf>
    <xf numFmtId="0" fontId="22" fillId="9" borderId="1" xfId="0" applyFont="1" applyFill="1" applyBorder="1" applyAlignment="1">
      <alignment horizontal="left" vertical="center" wrapText="1"/>
    </xf>
    <xf numFmtId="169" fontId="22" fillId="9" borderId="1" xfId="0" applyNumberFormat="1" applyFont="1" applyFill="1" applyBorder="1" applyAlignment="1">
      <alignment horizontal="center" vertical="center" wrapText="1"/>
    </xf>
    <xf numFmtId="169" fontId="14" fillId="9" borderId="1" xfId="0" applyNumberFormat="1" applyFont="1" applyFill="1" applyBorder="1" applyAlignment="1">
      <alignment horizontal="center" vertical="center" wrapText="1"/>
    </xf>
    <xf numFmtId="0" fontId="22" fillId="9" borderId="1" xfId="0" applyFont="1" applyFill="1" applyBorder="1" applyAlignment="1">
      <alignment horizontal="center" vertical="center" wrapText="1"/>
    </xf>
    <xf numFmtId="0" fontId="3" fillId="0" borderId="1" xfId="0" applyFont="1" applyBorder="1"/>
    <xf numFmtId="169" fontId="23" fillId="5" borderId="2" xfId="0" applyNumberFormat="1" applyFont="1" applyFill="1" applyBorder="1" applyAlignment="1">
      <alignment horizontal="center" vertical="center" wrapText="1"/>
    </xf>
    <xf numFmtId="0" fontId="24" fillId="0" borderId="0" xfId="0" applyFont="1" applyAlignment="1">
      <alignment horizontal="right" vertical="center"/>
    </xf>
    <xf numFmtId="0" fontId="3" fillId="11" borderId="1" xfId="0" applyFont="1" applyFill="1" applyBorder="1"/>
    <xf numFmtId="0" fontId="3" fillId="12" borderId="1" xfId="0" applyFont="1" applyFill="1" applyBorder="1"/>
    <xf numFmtId="0" fontId="27" fillId="0" borderId="0" xfId="0" applyFont="1"/>
    <xf numFmtId="0" fontId="18" fillId="0" borderId="0" xfId="0" applyFont="1"/>
    <xf numFmtId="165" fontId="22" fillId="0" borderId="0" xfId="0" applyNumberFormat="1" applyFont="1" applyAlignment="1">
      <alignment horizontal="center" vertical="center" wrapText="1"/>
    </xf>
    <xf numFmtId="166" fontId="22" fillId="0" borderId="0" xfId="0" applyNumberFormat="1" applyFont="1" applyAlignment="1">
      <alignment horizontal="center" vertical="center" wrapText="1"/>
    </xf>
    <xf numFmtId="169" fontId="15" fillId="5" borderId="0" xfId="0" applyNumberFormat="1" applyFont="1" applyFill="1" applyAlignment="1">
      <alignment horizontal="center" vertical="center" wrapText="1"/>
    </xf>
    <xf numFmtId="170" fontId="22" fillId="0" borderId="0" xfId="0" applyNumberFormat="1" applyFont="1" applyAlignment="1">
      <alignment horizontal="center" vertical="center" wrapText="1"/>
    </xf>
    <xf numFmtId="0" fontId="7" fillId="2" borderId="0" xfId="0" applyFont="1" applyFill="1" applyAlignment="1">
      <alignment horizontal="left"/>
    </xf>
    <xf numFmtId="0" fontId="3" fillId="2" borderId="0" xfId="0" applyFont="1" applyFill="1"/>
    <xf numFmtId="0" fontId="14" fillId="13" borderId="0" xfId="0" applyFont="1" applyFill="1" applyAlignment="1">
      <alignment horizontal="left" wrapText="1"/>
    </xf>
    <xf numFmtId="0" fontId="11" fillId="13" borderId="0" xfId="0" applyFont="1" applyFill="1"/>
    <xf numFmtId="169" fontId="15" fillId="5" borderId="0" xfId="0" applyNumberFormat="1" applyFont="1" applyFill="1" applyAlignment="1">
      <alignment horizontal="center"/>
    </xf>
    <xf numFmtId="169" fontId="22" fillId="13" borderId="0" xfId="0" applyNumberFormat="1" applyFont="1" applyFill="1" applyAlignment="1">
      <alignment horizontal="center"/>
    </xf>
    <xf numFmtId="0" fontId="9" fillId="2" borderId="0" xfId="0" applyFont="1" applyFill="1" applyAlignment="1">
      <alignment horizontal="center"/>
    </xf>
    <xf numFmtId="0" fontId="14" fillId="13" borderId="0" xfId="0" applyFont="1" applyFill="1" applyAlignment="1">
      <alignment horizontal="center"/>
    </xf>
    <xf numFmtId="0" fontId="14" fillId="13" borderId="0" xfId="0" applyFont="1" applyFill="1" applyAlignment="1">
      <alignment horizontal="left"/>
    </xf>
    <xf numFmtId="169" fontId="11" fillId="5" borderId="0" xfId="0" applyNumberFormat="1" applyFont="1" applyFill="1" applyAlignment="1">
      <alignment horizontal="center"/>
    </xf>
    <xf numFmtId="0" fontId="11" fillId="14" borderId="0" xfId="0" applyFont="1" applyFill="1"/>
    <xf numFmtId="0" fontId="11" fillId="14" borderId="0" xfId="0" applyFont="1" applyFill="1" applyAlignment="1">
      <alignment horizontal="center"/>
    </xf>
    <xf numFmtId="169" fontId="11" fillId="14" borderId="0" xfId="0" applyNumberFormat="1" applyFont="1" applyFill="1" applyAlignment="1">
      <alignment horizontal="center"/>
    </xf>
    <xf numFmtId="0" fontId="11" fillId="13" borderId="0" xfId="0" applyFont="1" applyFill="1" applyAlignment="1">
      <alignment horizontal="left"/>
    </xf>
    <xf numFmtId="170" fontId="6" fillId="0" borderId="1" xfId="0" applyNumberFormat="1" applyFont="1" applyBorder="1" applyAlignment="1">
      <alignment horizontal="center" vertical="center" wrapText="1"/>
    </xf>
    <xf numFmtId="170" fontId="14" fillId="5" borderId="1" xfId="0" applyNumberFormat="1" applyFont="1" applyFill="1" applyBorder="1" applyAlignment="1">
      <alignment horizontal="center" vertical="center" wrapText="1"/>
    </xf>
    <xf numFmtId="0" fontId="13" fillId="0" borderId="1" xfId="0" applyFont="1" applyBorder="1" applyAlignment="1">
      <alignment horizontal="left" vertical="top" wrapText="1"/>
    </xf>
    <xf numFmtId="0" fontId="30" fillId="0" borderId="1" xfId="0" applyFont="1" applyBorder="1" applyAlignment="1">
      <alignment horizontal="left" vertical="center" wrapText="1"/>
    </xf>
    <xf numFmtId="170" fontId="30" fillId="0" borderId="1" xfId="0" applyNumberFormat="1" applyFont="1" applyBorder="1" applyAlignment="1">
      <alignment horizontal="center" vertical="center" wrapText="1"/>
    </xf>
    <xf numFmtId="0" fontId="31" fillId="10" borderId="1" xfId="0" applyFont="1" applyFill="1" applyBorder="1" applyAlignment="1">
      <alignment horizontal="center" vertical="center" wrapText="1"/>
    </xf>
    <xf numFmtId="170" fontId="32" fillId="5" borderId="1" xfId="0" applyNumberFormat="1" applyFont="1" applyFill="1" applyBorder="1" applyAlignment="1">
      <alignment horizontal="center" vertical="center" wrapText="1"/>
    </xf>
    <xf numFmtId="0" fontId="33" fillId="0" borderId="1" xfId="0" applyFont="1" applyBorder="1" applyAlignment="1">
      <alignment horizontal="left" vertical="top" wrapText="1"/>
    </xf>
    <xf numFmtId="0" fontId="6" fillId="9" borderId="1" xfId="0" applyFont="1" applyFill="1" applyBorder="1"/>
    <xf numFmtId="0" fontId="6" fillId="9" borderId="1" xfId="0" applyFont="1" applyFill="1" applyBorder="1" applyAlignment="1">
      <alignment horizontal="left" vertical="center" wrapText="1"/>
    </xf>
    <xf numFmtId="166" fontId="6" fillId="0" borderId="1" xfId="0" applyNumberFormat="1" applyFont="1" applyBorder="1" applyAlignment="1">
      <alignment horizontal="center" vertical="center" wrapText="1"/>
    </xf>
    <xf numFmtId="169" fontId="6" fillId="0" borderId="1" xfId="0" applyNumberFormat="1" applyFont="1" applyBorder="1" applyAlignment="1">
      <alignment horizontal="center" vertical="center" wrapText="1"/>
    </xf>
    <xf numFmtId="0" fontId="6" fillId="12"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170" fontId="8" fillId="5" borderId="1" xfId="0" applyNumberFormat="1" applyFont="1" applyFill="1" applyBorder="1" applyAlignment="1">
      <alignment horizontal="center" vertical="center" wrapText="1"/>
    </xf>
    <xf numFmtId="0" fontId="13" fillId="5" borderId="1" xfId="0" applyFont="1" applyFill="1" applyBorder="1" applyAlignment="1">
      <alignment horizontal="left" vertical="top" wrapText="1"/>
    </xf>
    <xf numFmtId="0" fontId="34" fillId="15" borderId="0" xfId="0" applyFont="1" applyFill="1" applyAlignment="1">
      <alignment wrapText="1"/>
    </xf>
    <xf numFmtId="0" fontId="13" fillId="0" borderId="0" xfId="0" applyFont="1" applyAlignment="1">
      <alignment vertical="top" wrapText="1"/>
    </xf>
    <xf numFmtId="0" fontId="2" fillId="2" borderId="4" xfId="0" applyFont="1" applyFill="1" applyBorder="1" applyAlignment="1">
      <alignment horizontal="center" wrapText="1"/>
    </xf>
    <xf numFmtId="0" fontId="0" fillId="0" borderId="4" xfId="0" applyBorder="1" applyAlignment="1">
      <alignment horizontal="center" wrapText="1"/>
    </xf>
    <xf numFmtId="173" fontId="0" fillId="0" borderId="4" xfId="0" applyNumberFormat="1" applyBorder="1" applyAlignment="1">
      <alignment horizontal="center" wrapText="1"/>
    </xf>
    <xf numFmtId="0" fontId="25" fillId="3"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36" fillId="9"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40" fillId="0" borderId="0" xfId="0" applyFont="1"/>
    <xf numFmtId="0" fontId="42" fillId="9" borderId="1" xfId="0" applyFont="1" applyFill="1" applyBorder="1" applyAlignment="1">
      <alignment horizontal="center" vertical="center" wrapText="1"/>
    </xf>
    <xf numFmtId="0" fontId="42" fillId="5"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0" fillId="0" borderId="7" xfId="0" applyBorder="1"/>
    <xf numFmtId="0" fontId="0" fillId="0" borderId="8" xfId="0" applyBorder="1"/>
    <xf numFmtId="0" fontId="0" fillId="17" borderId="0" xfId="0" applyFill="1"/>
    <xf numFmtId="0" fontId="0" fillId="17" borderId="9" xfId="0" applyFill="1" applyBorder="1"/>
    <xf numFmtId="0" fontId="0" fillId="17" borderId="10" xfId="0" applyFill="1" applyBorder="1"/>
    <xf numFmtId="0" fontId="0" fillId="18" borderId="0" xfId="0" applyFill="1"/>
    <xf numFmtId="0" fontId="0" fillId="0" borderId="11" xfId="0" applyBorder="1"/>
    <xf numFmtId="0" fontId="0" fillId="0" borderId="12" xfId="0" applyBorder="1"/>
    <xf numFmtId="0" fontId="0" fillId="0" borderId="13" xfId="0" applyBorder="1"/>
    <xf numFmtId="14" fontId="0" fillId="0" borderId="0" xfId="0" applyNumberFormat="1"/>
    <xf numFmtId="174" fontId="0" fillId="0" borderId="0" xfId="0" applyNumberFormat="1"/>
    <xf numFmtId="0" fontId="3" fillId="0" borderId="0" xfId="0" applyFont="1" applyAlignment="1">
      <alignment horizontal="center" vertical="center"/>
    </xf>
    <xf numFmtId="0" fontId="4" fillId="2" borderId="0" xfId="0" applyFont="1" applyFill="1" applyAlignment="1">
      <alignment horizontal="center" vertical="center" wrapText="1"/>
    </xf>
    <xf numFmtId="0" fontId="13" fillId="0" borderId="0" xfId="0" applyFont="1" applyAlignment="1">
      <alignment horizontal="left" vertical="top" wrapText="1"/>
    </xf>
    <xf numFmtId="0" fontId="9" fillId="2" borderId="6"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13" fillId="0" borderId="0" xfId="0" applyFont="1"/>
    <xf numFmtId="0" fontId="6" fillId="0" borderId="0" xfId="0" applyFont="1"/>
    <xf numFmtId="0" fontId="9" fillId="3" borderId="1" xfId="0" applyFont="1" applyFill="1" applyBorder="1" applyAlignment="1">
      <alignment horizontal="center" vertical="center" wrapText="1"/>
    </xf>
    <xf numFmtId="0" fontId="6" fillId="0" borderId="1" xfId="0" applyFont="1" applyBorder="1" applyAlignment="1">
      <alignment horizontal="left" vertical="top" wrapText="1"/>
    </xf>
    <xf numFmtId="0" fontId="7" fillId="2" borderId="0" xfId="0" applyFont="1" applyFill="1" applyAlignment="1">
      <alignment horizontal="left" vertical="center" indent="1"/>
    </xf>
    <xf numFmtId="0" fontId="6" fillId="0" borderId="1" xfId="0" applyFont="1" applyBorder="1" applyAlignment="1">
      <alignment horizontal="center" vertical="center" wrapText="1"/>
    </xf>
    <xf numFmtId="0" fontId="3" fillId="0" borderId="0" xfId="0" applyFont="1"/>
    <xf numFmtId="0" fontId="6" fillId="0" borderId="0" xfId="0" applyFont="1" applyAlignment="1">
      <alignment horizontal="left" vertical="top" wrapText="1"/>
    </xf>
    <xf numFmtId="0" fontId="5" fillId="0" borderId="0" xfId="0" applyFont="1"/>
    <xf numFmtId="0" fontId="29" fillId="0" borderId="0" xfId="0" applyFont="1"/>
    <xf numFmtId="0" fontId="28" fillId="0" borderId="0" xfId="0" applyFont="1"/>
    <xf numFmtId="0" fontId="26" fillId="0" borderId="0" xfId="0" applyFont="1"/>
    <xf numFmtId="0" fontId="16" fillId="0" borderId="0" xfId="0" applyFont="1" applyAlignment="1">
      <alignment horizontal="left" vertical="top" wrapText="1"/>
    </xf>
    <xf numFmtId="0" fontId="8" fillId="0" borderId="0" xfId="0" applyFont="1"/>
    <xf numFmtId="0" fontId="21" fillId="0" borderId="0" xfId="0" applyFont="1"/>
    <xf numFmtId="0" fontId="10" fillId="4" borderId="1" xfId="0" applyFont="1" applyFill="1" applyBorder="1"/>
    <xf numFmtId="0" fontId="8" fillId="0" borderId="0" xfId="0" applyFont="1" applyAlignment="1">
      <alignment horizontal="right" vertical="center"/>
    </xf>
    <xf numFmtId="0" fontId="20" fillId="0" borderId="0" xfId="0" applyFont="1" applyAlignment="1">
      <alignment horizontal="left" vertical="top" wrapText="1"/>
    </xf>
    <xf numFmtId="0" fontId="16" fillId="0" borderId="0" xfId="0" applyFont="1"/>
    <xf numFmtId="0" fontId="19" fillId="0" borderId="0" xfId="0" applyFont="1"/>
    <xf numFmtId="0" fontId="10" fillId="4" borderId="1" xfId="0" applyFont="1" applyFill="1" applyBorder="1" applyAlignment="1">
      <alignment horizontal="left" vertical="center"/>
    </xf>
    <xf numFmtId="0" fontId="10" fillId="4" borderId="1" xfId="0" applyFont="1" applyFill="1" applyBorder="1" applyAlignment="1">
      <alignment horizontal="center" vertical="center"/>
    </xf>
    <xf numFmtId="0" fontId="3" fillId="0" borderId="3" xfId="0" applyFont="1" applyBorder="1" applyAlignment="1">
      <alignment horizontal="left" wrapText="1"/>
    </xf>
    <xf numFmtId="0" fontId="13" fillId="8" borderId="0" xfId="0" applyFont="1" applyFill="1" applyAlignment="1">
      <alignment horizontal="center" vertical="center"/>
    </xf>
    <xf numFmtId="0" fontId="8" fillId="0" borderId="0" xfId="0" applyFont="1" applyAlignment="1">
      <alignment horizontal="left" vertical="center" wrapText="1"/>
    </xf>
    <xf numFmtId="0" fontId="14" fillId="13" borderId="0" xfId="0" applyFont="1" applyFill="1" applyAlignment="1">
      <alignment horizontal="left" wrapText="1"/>
    </xf>
    <xf numFmtId="0" fontId="7" fillId="2" borderId="0" xfId="0" applyFont="1" applyFill="1" applyAlignment="1">
      <alignment horizontal="left"/>
    </xf>
    <xf numFmtId="0" fontId="7" fillId="2" borderId="0" xfId="0" applyFont="1" applyFill="1" applyAlignment="1">
      <alignment horizontal="left" vertical="center"/>
    </xf>
    <xf numFmtId="0" fontId="9"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5" fillId="3" borderId="5" xfId="0" applyFont="1" applyFill="1" applyBorder="1" applyAlignment="1">
      <alignment horizontal="center" vertical="center"/>
    </xf>
    <xf numFmtId="0" fontId="13" fillId="0" borderId="5" xfId="0" applyFont="1" applyBorder="1" applyAlignment="1">
      <alignment horizontal="left" vertical="top" wrapText="1"/>
    </xf>
    <xf numFmtId="0" fontId="34" fillId="15" borderId="0" xfId="0" applyFont="1" applyFill="1" applyAlignment="1">
      <alignment wrapText="1"/>
    </xf>
    <xf numFmtId="0" fontId="35" fillId="16" borderId="0" xfId="0" applyFont="1" applyFill="1" applyAlignment="1">
      <alignment wrapText="1"/>
    </xf>
    <xf numFmtId="0" fontId="38" fillId="0" borderId="0" xfId="0" applyFont="1" applyAlignment="1">
      <alignment horizontal="left" vertical="top" wrapText="1"/>
    </xf>
    <xf numFmtId="0" fontId="40" fillId="0" borderId="0" xfId="0" applyFont="1" applyAlignment="1">
      <alignment horizontal="left" vertical="top" wrapText="1"/>
    </xf>
    <xf numFmtId="0" fontId="41" fillId="0" borderId="0" xfId="0" applyFont="1"/>
    <xf numFmtId="0" fontId="39" fillId="2" borderId="0" xfId="0" applyFont="1" applyFill="1" applyAlignment="1">
      <alignment horizontal="left" vertical="center" indent="1"/>
    </xf>
    <xf numFmtId="0" fontId="37" fillId="2" borderId="0" xfId="0" applyFont="1" applyFill="1" applyAlignment="1">
      <alignment horizontal="center" vertical="center" wrapText="1"/>
    </xf>
    <xf numFmtId="0" fontId="43" fillId="19" borderId="1" xfId="0" applyFont="1" applyFill="1" applyBorder="1" applyAlignment="1">
      <alignment horizontal="center" vertical="center" wrapText="1"/>
    </xf>
    <xf numFmtId="0" fontId="43" fillId="20" borderId="1" xfId="0" applyFont="1" applyFill="1" applyBorder="1" applyAlignment="1">
      <alignment horizontal="center" vertical="center" wrapText="1"/>
    </xf>
    <xf numFmtId="0" fontId="43" fillId="21" borderId="1" xfId="0" applyFont="1" applyFill="1" applyBorder="1" applyAlignment="1">
      <alignment horizontal="center" vertical="center" wrapText="1"/>
    </xf>
    <xf numFmtId="0" fontId="2" fillId="2" borderId="16" xfId="0" applyFont="1" applyFill="1" applyBorder="1" applyAlignment="1">
      <alignment horizontal="center" wrapText="1"/>
    </xf>
    <xf numFmtId="0" fontId="0" fillId="0" borderId="0" xfId="0"/>
    <xf numFmtId="0" fontId="6" fillId="21" borderId="1" xfId="0" applyFont="1" applyFill="1" applyBorder="1" applyAlignment="1">
      <alignment horizontal="center" vertical="center" wrapText="1"/>
    </xf>
    <xf numFmtId="0" fontId="6" fillId="20" borderId="1" xfId="0" applyFont="1" applyFill="1" applyBorder="1" applyAlignment="1">
      <alignment horizontal="center" vertical="center" wrapText="1"/>
    </xf>
  </cellXfs>
  <cellStyles count="1">
    <cellStyle name="Normal" xfId="0" builtinId="0"/>
  </cellStyles>
  <dxfs count="18">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C9DAF8"/>
        </patternFill>
      </fill>
    </dxf>
    <dxf>
      <fill>
        <patternFill>
          <bgColor rgb="FFD5E8D4"/>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E7E6E6"/>
      <rgbColor rgb="FFFF00FF"/>
      <rgbColor rgb="FF00FFFF"/>
      <rgbColor rgb="FF800000"/>
      <rgbColor rgb="FF008000"/>
      <rgbColor rgb="FF000080"/>
      <rgbColor rgb="FF808000"/>
      <rgbColor rgb="FF800080"/>
      <rgbColor rgb="FF008080"/>
      <rgbColor rgb="FFD0D0D0"/>
      <rgbColor rgb="FF808080"/>
      <rgbColor rgb="FF8EA9DB"/>
      <rgbColor rgb="FF595959"/>
      <rgbColor rgb="FFFFF2CC"/>
      <rgbColor rgb="FFD9EAF7"/>
      <rgbColor rgb="FF660066"/>
      <rgbColor rgb="FFFF8080"/>
      <rgbColor rgb="FF0066CC"/>
      <rgbColor rgb="FFC9DAF8"/>
      <rgbColor rgb="FF000080"/>
      <rgbColor rgb="FFFF00FF"/>
      <rgbColor rgb="FFF2F2F2"/>
      <rgbColor rgb="FF00FFFF"/>
      <rgbColor rgb="FF800080"/>
      <rgbColor rgb="FF800000"/>
      <rgbColor rgb="FF008080"/>
      <rgbColor rgb="FF0000FF"/>
      <rgbColor rgb="FF00CCFF"/>
      <rgbColor rgb="FFDDEBF7"/>
      <rgbColor rgb="FFC6EFCE"/>
      <rgbColor rgb="FFFFE699"/>
      <rgbColor rgb="FFD9D9D9"/>
      <rgbColor rgb="FFFFC7CE"/>
      <rgbColor rgb="FFD9E1F2"/>
      <rgbColor rgb="FFF8CBAD"/>
      <rgbColor rgb="FF3366FF"/>
      <rgbColor rgb="FF33CCCC"/>
      <rgbColor rgb="FF99CC00"/>
      <rgbColor rgb="FFF5F9FD"/>
      <rgbColor rgb="FFFF9900"/>
      <rgbColor rgb="FFFF6600"/>
      <rgbColor rgb="FF666666"/>
      <rgbColor rgb="FFD5E8D4"/>
      <rgbColor rgb="FF1F4E78"/>
      <rgbColor rgb="FF339966"/>
      <rgbColor rgb="FF003300"/>
      <rgbColor rgb="FF1F1F1F"/>
      <rgbColor rgb="FF8B4500"/>
      <rgbColor rgb="FF993366"/>
      <rgbColor rgb="FF305496"/>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254000</xdr:colOff>
      <xdr:row>1</xdr:row>
      <xdr:rowOff>63500</xdr:rowOff>
    </xdr:from>
    <xdr:to>
      <xdr:col>15</xdr:col>
      <xdr:colOff>254000</xdr:colOff>
      <xdr:row>41</xdr:row>
      <xdr:rowOff>28575</xdr:rowOff>
    </xdr:to>
    <xdr:sp macro="" textlink="">
      <xdr:nvSpPr>
        <xdr:cNvPr id="2" name="Notat_Interpolation_Ark1">
          <a:extLst>
            <a:ext uri="{FF2B5EF4-FFF2-40B4-BE49-F238E27FC236}">
              <a16:creationId xmlns:a16="http://schemas.microsoft.com/office/drawing/2014/main" id="{6AB0C2FB-925C-2046-F075-A3A455F097A1}"/>
            </a:ext>
          </a:extLst>
        </xdr:cNvPr>
        <xdr:cNvSpPr txBox="1"/>
      </xdr:nvSpPr>
      <xdr:spPr>
        <a:xfrm>
          <a:off x="254000" y="254000"/>
          <a:ext cx="9144000" cy="7585075"/>
        </a:xfrm>
        <a:prstGeom prst="rect">
          <a:avLst/>
        </a:prstGeom>
        <a:solidFill>
          <a:srgbClr val="F7FBFF"/>
        </a:solidFill>
        <a:ln>
          <a:solidFill>
            <a:srgbClr val="305496"/>
          </a:solidFill>
        </a:ln>
      </xdr:spPr>
      <xdr:txBody>
        <a:bodyPr vertOverflow="overflow" vert="horz" wrap="square" rtlCol="0" anchor="t">
          <a:noAutofit/>
        </a:bodyPr>
        <a:lstStyle/>
        <a:p>
          <a:pPr algn="l"/>
          <a:r>
            <a:rPr kumimoji="0" lang="da-DK" sz="1000" b="0" i="0" u="none" strike="noStrike" kern="0" cap="none" spc="0" normalizeH="0" baseline="0" noProof="0">
              <a:ln>
                <a:noFill/>
              </a:ln>
              <a:solidFill>
                <a:srgbClr val="1F1F1F"/>
              </a:solidFill>
              <a:effectLst/>
              <a:uLnTx/>
              <a:uFillTx/>
              <a:latin typeface="Calibri"/>
              <a:ea typeface="Calibri"/>
              <a:cs typeface="Calibri"/>
            </a:rPr>
            <a:t>Vurdering af værdier i lookup-tabellen ift. sektion 7.2
Definitioner:
• Direkte aflæsning = Eu-værdien findes som et råt datapunkt i sektion 7.2, og tykkelsen matcher datapunktet direkte.
• Lineær interpolation = Eu-værdien ligger mellem to rå datapunkter i 7.2, og tykkelsen er beregnet lineært mellem de to nabopunkter.
• Uden for område = cellen vises som —, fordi Eu ligger uden for diagrammets gyldige område.
Hurtigt mønster:
• Hele, runde værdier er ofte direkte aflæsninger.
• Decimalværdier som 96,7 / 83,3 / 57,5 / 31,4 / 24,3 / 46,7 / 136,7 er typisk lineært interpolerede.
• Der kan dog være undtagelser, hvis råtabellerne i 7.2 selv indeholder decimaler.
Resultat pr. Eo:
Eo = 30 MPa
• Uarmeret: Direkte = Eu 3, 5, 6, 8, 10, 12, 18, 25, 30. Interpoleret = Eu 4, 7, 15, 20. Uden for område = øvrige viste —.
• 1 lag: Direkte = Eu 2, 3, 5, 15. Interpoleret = Eu 4, 6, 7, 8, 10, 12. Uden for område = øvrige viste —.
• 2/flere lag: Ingen værdier i 7.2, derfor uden for område i lookup-tabellen.
Eo = 45 MPa
• Uarmeret: Direkte = Eu 3, 5, 6, 8, 10, 12, 15, 18, 45. Interpoleret = Eu 4, 7, 20, 25, 30, 35, 40.
• 1 lag: Direkte = Eu 2, 6, 12, 20. Interpoleret = Eu 3, 4, 5, 7, 8, 10, 15, 18.
• 2/flere lag: Direkte = Eu 2, 3. Interpoleret = Eu 4, 5, 6.
Eo = 60 MPa
• Uarmeret: Direkte = Eu 3, 5, 6, 10, 12, 15, 45. Interpoleret = Eu 4, 7, 8, 18, 20, 25, 30, 35, 40.
• 1 lag: Direkte = Eu 3, 12, 20. Interpoleret = Eu 2, 4, 5, 6, 7, 8, 10, 15, 18, 25.
• 2/flere lag: Direkte = Eu 3. Interpoleret = Eu 2, 4, 5, 6, 7, 8.
Eo = 80 MPa
• Uarmeret: Direkte = Eu 3, 8, 10, 12, 15, 45. Interpoleret = Eu 4, 5, 6, 7, 18, 20, 25, 30, 35, 40.
• 1 lag: Direkte = Eu 2, 3, 8, 20. Interpoleret = Eu 4, 5, 6, 7, 10, 12, 15, 18, 25, 30.
• 2/flere lag: Direkte = Eu 2, 3, 4, 6, 8. Interpoleret = Eu 5, 7.
Eo = 120 MPa
• Uarmeret: Direkte = Eu 3, 5, 6, 8, 10, 12, 15, 45. Interpoleret = Eu 4, 7, 18, 20, 25, 30, 35, 40.
• 1 lag: Direkte = Eu 2, 3, 6, 8, 10, 25. Interpoleret = Eu 4, 5, 7, 12, 15, 18, 20, 30.
• 2/flere lag: Direkte = Eu 3, 4, 8, 10. Interpoleret = Eu 2, 5, 6, 7, 12.
Eo = 150 MPa
• Uarmeret: Direkte = Eu 3, 5, 6, 8, 10, 12, 15, 45. Interpoleret = Eu 4, 7, 18, 20, 25, 30, 35, 40.
• 1 lag: Direkte = Eu 5, 6, 12. Interpoleret = Eu 2, 3, 4, 7, 8, 10, 15, 18, 20, 25, 30.
• 2/flere lag: Direkte = Eu 2, 3, 12, 18. Interpoleret = Eu 4, 5, 6, 7, 8, 10, 15.
Farvekoder i fane 7:
• Grøn = Direkte aflæsning
• Gul = Lineær interpolation
• Grå = Uden for område</a:t>
          </a:r>
        </a:p>
      </xdr:txBody>
    </xdr:sp>
    <xdr:clientData/>
  </xdr:twoCellAnchor>
  <xdr:twoCellAnchor>
    <xdr:from>
      <xdr:col>0</xdr:col>
      <xdr:colOff>285751</xdr:colOff>
      <xdr:row>42</xdr:row>
      <xdr:rowOff>34925</xdr:rowOff>
    </xdr:from>
    <xdr:to>
      <xdr:col>10</xdr:col>
      <xdr:colOff>190501</xdr:colOff>
      <xdr:row>478</xdr:row>
      <xdr:rowOff>71275</xdr:rowOff>
    </xdr:to>
    <xdr:sp macro="" textlink="">
      <xdr:nvSpPr>
        <xdr:cNvPr id="4" name="Forklaring_Beregningsprincip_Ark1">
          <a:extLst>
            <a:ext uri="{FF2B5EF4-FFF2-40B4-BE49-F238E27FC236}">
              <a16:creationId xmlns:a16="http://schemas.microsoft.com/office/drawing/2014/main" id="{685B5F5A-A727-552D-A2E5-AD6B4BC29DFD}"/>
            </a:ext>
          </a:extLst>
        </xdr:cNvPr>
        <xdr:cNvSpPr txBox="1"/>
      </xdr:nvSpPr>
      <xdr:spPr>
        <a:xfrm>
          <a:off x="285751" y="8035925"/>
          <a:ext cx="6096000" cy="83094350"/>
        </a:xfrm>
        <a:prstGeom prst="rect">
          <a:avLst/>
        </a:prstGeom>
        <a:solidFill>
          <a:srgbClr val="FFF2CC"/>
        </a:solidFill>
        <a:ln>
          <a:solidFill>
            <a:srgbClr val="305496"/>
          </a:solidFill>
        </a:ln>
      </xdr:spPr>
      <xdr:txBody>
        <a:bodyPr vertOverflow="overflow" vert="horz" wrap="square" rtlCol="0" anchor="t">
          <a:spAutoFit/>
        </a:bodyPr>
        <a:lstStyle/>
        <a:p>
          <a:pPr algn="l"/>
          <a:r>
            <a:rPr lang="da-DK"/>
            <a:t>✅ **Kort fortalt:**  </a:t>
          </a:r>
        </a:p>
        <a:p>
          <a:pPr algn="l"/>
          <a:r>
            <a:rPr lang="da-DK"/>
            <a:t>
Tabellen i **fane 7.1** er værktøjets **opsalgstabel for basis-tykkelsen** af bærelaget.  </a:t>
          </a:r>
        </a:p>
        <a:p>
          <a:pPr algn="l"/>
          <a:r>
            <a:rPr lang="da-DK"/>
            <a:t>
Den bruges sådan:</a:t>
          </a:r>
        </a:p>
        <a:p>
          <a:pPr algn="l"/>
          <a:r>
            <a:rPr lang="da-DK"/>
            <a:t>
</a:t>
          </a:r>
        </a:p>
        <a:p>
          <a:pPr algn="l"/>
          <a:r>
            <a:rPr lang="da-DK"/>
            <a:t>
1. **Du indtaster Eu, Eo og lagtype** på fane 2  </a:t>
          </a:r>
        </a:p>
        <a:p>
          <a:pPr algn="l"/>
          <a:r>
            <a:rPr lang="da-DK"/>
            <a:t>
2. Værktøjet finder den relevante **kolonne** i 7.1 ud fra **Eo + lagtype**  </a:t>
          </a:r>
        </a:p>
        <a:p>
          <a:pPr algn="l"/>
          <a:r>
            <a:rPr lang="da-DK"/>
            <a:t>
3. Værktøjet finder de to nærmeste **Eu-rækker**  </a:t>
          </a:r>
        </a:p>
        <a:p>
          <a:pPr algn="l"/>
          <a:r>
            <a:rPr lang="da-DK"/>
            <a:t>
4. Herfra hentes en eller to tykkelser fra tabellen:</a:t>
          </a:r>
        </a:p>
        <a:p>
          <a:pPr algn="l"/>
          <a:r>
            <a:rPr lang="da-DK"/>
            <a:t>
   - **direkte aflæsning**, hvis Eu rammer præcis en tabelrække</a:t>
          </a:r>
        </a:p>
        <a:p>
          <a:pPr algn="l"/>
          <a:r>
            <a:rPr lang="da-DK"/>
            <a:t>
   - **lineær interpolation**, hvis Eu ligger mellem to tabelrækker</a:t>
          </a:r>
        </a:p>
        <a:p>
          <a:pPr algn="l"/>
          <a:r>
            <a:rPr lang="da-DK"/>
            <a:t>
5. Den fundne værdi bliver til **T_basis**</a:t>
          </a:r>
        </a:p>
        <a:p>
          <a:pPr algn="l"/>
          <a:r>
            <a:rPr lang="da-DK"/>
            <a:t>
6. Derefter korrigeres T_basis for:</a:t>
          </a:r>
        </a:p>
        <a:p>
          <a:pPr algn="l"/>
          <a:r>
            <a:rPr lang="da-DK"/>
            <a:t>
   - friktionsvinkel </a:t>
          </a:r>
          <a:r>
            <a:rPr lang="el-GR"/>
            <a:t>φ</a:t>
          </a:r>
        </a:p>
        <a:p>
          <a:pPr algn="l"/>
          <a:r>
            <a:rPr lang="el-GR"/>
            <a:t>
   - </a:t>
          </a:r>
          <a:r>
            <a:rPr lang="da-DK"/>
            <a:t>valgt geonet</a:t>
          </a:r>
        </a:p>
        <a:p>
          <a:pPr algn="l"/>
          <a:r>
            <a:rPr lang="da-DK"/>
            <a:t>
7. Resultatet bliver den dimensionerende tykkelse på fane 2</a:t>
          </a:r>
        </a:p>
        <a:p>
          <a:pPr algn="l"/>
          <a:r>
            <a:rPr lang="da-DK"/>
            <a:t>
</a:t>
          </a:r>
        </a:p>
        <a:p>
          <a:pPr algn="l"/>
          <a:r>
            <a:rPr lang="da-DK"/>
            <a:t>
---</a:t>
          </a:r>
        </a:p>
        <a:p>
          <a:pPr algn="l"/>
          <a:r>
            <a:rPr lang="da-DK"/>
            <a:t>
</a:t>
          </a:r>
        </a:p>
        <a:p>
          <a:pPr algn="l"/>
          <a:r>
            <a:rPr lang="da-DK"/>
            <a:t>
## 🧭 Beregningsprincippet helt fra start</a:t>
          </a:r>
        </a:p>
        <a:p>
          <a:pPr algn="l"/>
          <a:r>
            <a:rPr lang="da-DK"/>
            <a:t>
</a:t>
          </a:r>
        </a:p>
        <a:p>
          <a:pPr algn="l"/>
          <a:r>
            <a:rPr lang="da-DK"/>
            <a:t>
### Trin 1: Input</a:t>
          </a:r>
        </a:p>
        <a:p>
          <a:pPr algn="l"/>
          <a:r>
            <a:rPr lang="da-DK"/>
            <a:t>
På **fane 2** indtaster man bl.a.:</a:t>
          </a:r>
        </a:p>
        <a:p>
          <a:pPr algn="l"/>
          <a:r>
            <a:rPr lang="da-DK"/>
            <a:t>
- **Eu** = underbundens E-modul</a:t>
          </a:r>
        </a:p>
        <a:p>
          <a:pPr algn="l"/>
          <a:r>
            <a:rPr lang="da-DK"/>
            <a:t>
- **Eo** = ønsket E-modul på toppen af bærelaget</a:t>
          </a:r>
        </a:p>
        <a:p>
          <a:pPr algn="l"/>
          <a:r>
            <a:rPr lang="da-DK"/>
            <a:t>
- **lagtype** = 1 lag eller 2/flere lag  </a:t>
          </a:r>
        </a:p>
        <a:p>
          <a:pPr algn="l"/>
          <a:r>
            <a:rPr lang="da-DK"/>
            <a:t>
  (og uarmeret bruges også som reference i modellen)</a:t>
          </a:r>
        </a:p>
        <a:p>
          <a:pPr algn="l"/>
          <a:r>
            <a:rPr lang="da-DK"/>
            <a:t>
</a:t>
          </a:r>
        </a:p>
        <a:p>
          <a:pPr algn="l"/>
          <a:r>
            <a:rPr lang="da-DK"/>
            <a:t>
### Trin 2: Valg af rigtig kolonne i 7.1</a:t>
          </a:r>
        </a:p>
        <a:p>
          <a:pPr algn="l"/>
          <a:r>
            <a:rPr lang="da-DK"/>
            <a:t>
På **fane 7** ligger lookup-tabellen i **B10:T27**.</a:t>
          </a:r>
        </a:p>
        <a:p>
          <a:pPr algn="l"/>
          <a:r>
            <a:rPr lang="da-DK"/>
            <a:t>
</a:t>
          </a:r>
        </a:p>
        <a:p>
          <a:pPr algn="l"/>
          <a:r>
            <a:rPr lang="da-DK"/>
            <a:t>
- **kolonne B** = Eu-værdierne</a:t>
          </a:r>
        </a:p>
        <a:p>
          <a:pPr algn="l"/>
          <a:r>
            <a:rPr lang="da-DK"/>
            <a:t>
- de øvrige kolonner = kombinationer af:</a:t>
          </a:r>
        </a:p>
        <a:p>
          <a:pPr algn="l"/>
          <a:r>
            <a:rPr lang="da-DK"/>
            <a:t>
  - Eo = 30, 45, 60, 80, 120, 150</a:t>
          </a:r>
        </a:p>
        <a:p>
          <a:pPr algn="l"/>
          <a:r>
            <a:rPr lang="da-DK"/>
            <a:t>
  - Uarmeret / 1 lag / 2-flere lag</a:t>
          </a:r>
        </a:p>
        <a:p>
          <a:pPr algn="l"/>
          <a:r>
            <a:rPr lang="da-DK"/>
            <a:t>
</a:t>
          </a:r>
        </a:p>
        <a:p>
          <a:pPr algn="l"/>
          <a:r>
            <a:rPr lang="da-DK"/>
            <a:t>
Eksempel:</a:t>
          </a:r>
        </a:p>
        <a:p>
          <a:pPr algn="l"/>
          <a:r>
            <a:rPr lang="da-DK"/>
            <a:t>
- **O** = Eo 120, uarmeret</a:t>
          </a:r>
        </a:p>
        <a:p>
          <a:pPr algn="l"/>
          <a:r>
            <a:rPr lang="da-DK"/>
            <a:t>
- **P** = Eo 120, 1 lag</a:t>
          </a:r>
        </a:p>
        <a:p>
          <a:pPr algn="l"/>
          <a:r>
            <a:rPr lang="da-DK"/>
            <a:t>
- **Q** = Eo 120, 2/flere lag</a:t>
          </a:r>
        </a:p>
        <a:p>
          <a:pPr algn="l"/>
          <a:r>
            <a:rPr lang="da-DK"/>
            <a:t>
- **R** = Eo 150, uarmeret</a:t>
          </a:r>
        </a:p>
        <a:p>
          <a:pPr algn="l"/>
          <a:r>
            <a:rPr lang="da-DK"/>
            <a:t>
- **S** = Eo 150, 1 lag</a:t>
          </a:r>
        </a:p>
        <a:p>
          <a:pPr algn="l"/>
          <a:r>
            <a:rPr lang="da-DK"/>
            <a:t>
- **T** = Eo 150, 2/flere lag</a:t>
          </a:r>
        </a:p>
        <a:p>
          <a:pPr algn="l"/>
          <a:r>
            <a:rPr lang="da-DK"/>
            <a:t>
</a:t>
          </a:r>
        </a:p>
        <a:p>
          <a:pPr algn="l"/>
          <a:r>
            <a:rPr lang="da-DK"/>
            <a:t>
### Trin 3: Find Eu-positionen</a:t>
          </a:r>
        </a:p>
        <a:p>
          <a:pPr algn="l"/>
          <a:r>
            <a:rPr lang="da-DK"/>
            <a:t>
Værktøjet finder, hvor Eu ligger i rækken med Eu-værdier:</a:t>
          </a:r>
        </a:p>
        <a:p>
          <a:pPr algn="l"/>
          <a:r>
            <a:rPr lang="da-DK"/>
            <a:t>
**2, 3, 4, 5, 6, 7, 8, 10, 12, 15, 18, 20, 25, 30, 35, 40, 45, 50**</a:t>
          </a:r>
        </a:p>
        <a:p>
          <a:pPr algn="l"/>
          <a:r>
            <a:rPr lang="da-DK"/>
            <a:t>
</a:t>
          </a:r>
        </a:p>
        <a:p>
          <a:pPr algn="l"/>
          <a:r>
            <a:rPr lang="da-DK"/>
            <a:t>
### Trin 4: Hent tykkelse fra tabel 7.1</a:t>
          </a:r>
        </a:p>
        <a:p>
          <a:pPr algn="l"/>
          <a:r>
            <a:rPr lang="da-DK"/>
            <a:t>
Der er to muligheder:</a:t>
          </a:r>
        </a:p>
        <a:p>
          <a:pPr algn="l"/>
          <a:r>
            <a:rPr lang="da-DK"/>
            <a:t>
</a:t>
          </a:r>
        </a:p>
        <a:p>
          <a:pPr algn="l"/>
          <a:r>
            <a:rPr lang="da-DK"/>
            <a:t>
#### A. Direkte aflæsning</a:t>
          </a:r>
        </a:p>
        <a:p>
          <a:pPr algn="l"/>
          <a:r>
            <a:rPr lang="da-DK"/>
            <a:t>
Hvis Eu er præcis en af tabelrækkerne, bruges den værdi direkte.</a:t>
          </a:r>
        </a:p>
        <a:p>
          <a:pPr algn="l"/>
          <a:r>
            <a:rPr lang="da-DK"/>
            <a:t>
</a:t>
          </a:r>
        </a:p>
        <a:p>
          <a:pPr algn="l"/>
          <a:r>
            <a:rPr lang="da-DK"/>
            <a:t>
#### B. Lineær interpolation</a:t>
          </a:r>
        </a:p>
        <a:p>
          <a:pPr algn="l"/>
          <a:r>
            <a:rPr lang="da-DK"/>
            <a:t>
Hvis Eu ligger mellem to rækker, hentes tykkelsen ved begge nabopunkter, og der interpoleres lineært imellem dem.</a:t>
          </a:r>
        </a:p>
        <a:p>
          <a:pPr algn="l"/>
          <a:r>
            <a:rPr lang="da-DK"/>
            <a:t>
</a:t>
          </a:r>
        </a:p>
        <a:p>
          <a:pPr algn="l"/>
          <a:r>
            <a:rPr lang="da-DK"/>
            <a:t>
---</a:t>
          </a:r>
        </a:p>
        <a:p>
          <a:pPr algn="l"/>
          <a:r>
            <a:rPr lang="da-DK"/>
            <a:t>
</a:t>
          </a:r>
        </a:p>
        <a:p>
          <a:pPr algn="l"/>
          <a:r>
            <a:rPr lang="da-DK"/>
            <a:t>
## 📌 Hvor kommer direkte aflæsning og interpolation fra?</a:t>
          </a:r>
        </a:p>
        <a:p>
          <a:pPr algn="l"/>
          <a:r>
            <a:rPr lang="da-DK"/>
            <a:t>
</a:t>
          </a:r>
        </a:p>
        <a:p>
          <a:pPr algn="l"/>
          <a:r>
            <a:rPr lang="da-DK"/>
            <a:t>
Det er vigtigt at skelne mellem **to niveauer**:</a:t>
          </a:r>
        </a:p>
        <a:p>
          <a:pPr algn="l"/>
          <a:r>
            <a:rPr lang="da-DK"/>
            <a:t>
</a:t>
          </a:r>
        </a:p>
        <a:p>
          <a:pPr algn="l"/>
          <a:r>
            <a:rPr lang="da-DK"/>
            <a:t>
### Niveau 1: Fra rådata 7.2 til lookup-tabel 7.1</a:t>
          </a:r>
        </a:p>
        <a:p>
          <a:pPr algn="l"/>
          <a:r>
            <a:rPr lang="da-DK"/>
            <a:t>
Selve lookup-tabellen i **7.1** er bygget ud fra rå diagramdata i **7.2**.</a:t>
          </a:r>
        </a:p>
        <a:p>
          <a:pPr algn="l"/>
          <a:r>
            <a:rPr lang="da-DK"/>
            <a:t>
</a:t>
          </a:r>
        </a:p>
        <a:p>
          <a:pPr algn="l"/>
          <a:r>
            <a:rPr lang="da-DK"/>
            <a:t>
Her kan hver celle i 7.1 være:</a:t>
          </a:r>
        </a:p>
        <a:p>
          <a:pPr algn="l"/>
          <a:r>
            <a:rPr lang="da-DK"/>
            <a:t>
- **direkte aflæst** fra råtabellen i 7.2  </a:t>
          </a:r>
        </a:p>
        <a:p>
          <a:pPr algn="l"/>
          <a:r>
            <a:rPr lang="da-DK"/>
            <a:t>
  hvis Eu præcis findes som et datapunkt i diagrammet</a:t>
          </a:r>
        </a:p>
        <a:p>
          <a:pPr algn="l"/>
          <a:r>
            <a:rPr lang="da-DK"/>
            <a:t>
- **lineært interpoleret**  </a:t>
          </a:r>
        </a:p>
        <a:p>
          <a:pPr algn="l"/>
          <a:r>
            <a:rPr lang="da-DK"/>
            <a:t>
  hvis Eu ikke findes direkte i 7.2, men ligger mellem to datapunkter</a:t>
          </a:r>
        </a:p>
        <a:p>
          <a:pPr algn="l"/>
          <a:r>
            <a:rPr lang="da-DK"/>
            <a:t>
- **uden for område** (—)  </a:t>
          </a:r>
        </a:p>
        <a:p>
          <a:pPr algn="l"/>
          <a:r>
            <a:rPr lang="da-DK"/>
            <a:t>
  hvis kurven ikke dækker den Eu-værdi</a:t>
          </a:r>
        </a:p>
        <a:p>
          <a:pPr algn="l"/>
          <a:r>
            <a:rPr lang="da-DK"/>
            <a:t>
</a:t>
          </a:r>
        </a:p>
        <a:p>
          <a:pPr algn="l"/>
          <a:r>
            <a:rPr lang="da-DK"/>
            <a:t>
Det er det, farvekoderne i fane 7 viser.</a:t>
          </a:r>
        </a:p>
        <a:p>
          <a:pPr algn="l"/>
          <a:r>
            <a:rPr lang="da-DK"/>
            <a:t>
</a:t>
          </a:r>
        </a:p>
        <a:p>
          <a:pPr algn="l"/>
          <a:r>
            <a:rPr lang="da-DK"/>
            <a:t>
### Niveau 2: Fra lookup-tabel 7.1 til den konkrete beregning på fane 2</a:t>
          </a:r>
        </a:p>
        <a:p>
          <a:pPr algn="l"/>
          <a:r>
            <a:rPr lang="da-DK"/>
            <a:t>
Når brugeren så regner med en konkret Eu på fane 2, kan værktøjet igen:</a:t>
          </a:r>
        </a:p>
        <a:p>
          <a:pPr algn="l"/>
          <a:r>
            <a:rPr lang="da-DK"/>
            <a:t>
- **aflæse direkte** i 7.1, hvis Eu præcis står i tabellen</a:t>
          </a:r>
        </a:p>
        <a:p>
          <a:pPr algn="l"/>
          <a:r>
            <a:rPr lang="da-DK"/>
            <a:t>
- **interpolere mellem to rækker i 7.1**, hvis Eu ligger mellem dem</a:t>
          </a:r>
        </a:p>
        <a:p>
          <a:pPr algn="l"/>
          <a:r>
            <a:rPr lang="da-DK"/>
            <a:t>
</a:t>
          </a:r>
        </a:p>
        <a:p>
          <a:pPr algn="l"/>
          <a:r>
            <a:rPr lang="da-DK"/>
            <a:t>
Så der kan godt være interpolation:</a:t>
          </a:r>
        </a:p>
        <a:p>
          <a:pPr algn="l"/>
          <a:r>
            <a:rPr lang="da-DK"/>
            <a:t>
- først da 7.1 bygges fra 7.2</a:t>
          </a:r>
        </a:p>
        <a:p>
          <a:pPr algn="l"/>
          <a:r>
            <a:rPr lang="da-DK"/>
            <a:t>
- og senere igen i selve brugerens beregning</a:t>
          </a:r>
        </a:p>
        <a:p>
          <a:pPr algn="l"/>
          <a:r>
            <a:rPr lang="da-DK"/>
            <a:t>
</a:t>
          </a:r>
        </a:p>
        <a:p>
          <a:pPr algn="l"/>
          <a:r>
            <a:rPr lang="da-DK"/>
            <a:t>
---</a:t>
          </a:r>
        </a:p>
        <a:p>
          <a:pPr algn="l"/>
          <a:r>
            <a:rPr lang="da-DK"/>
            <a:t>
</a:t>
          </a:r>
        </a:p>
        <a:p>
          <a:pPr algn="l"/>
          <a:r>
            <a:rPr lang="da-DK"/>
            <a:t>
## 🎯 Hvorfor bruger man lineær interpolation?</a:t>
          </a:r>
        </a:p>
        <a:p>
          <a:pPr algn="l"/>
          <a:r>
            <a:rPr lang="da-DK"/>
            <a:t>
Fordi rå diagrammerne og lookup-tabellen kun har værdier for udvalgte Eu-punkter.  </a:t>
          </a:r>
        </a:p>
        <a:p>
          <a:pPr algn="l"/>
          <a:r>
            <a:rPr lang="da-DK"/>
            <a:t>
Hvis den aktuelle Eu ligger imellem to kendte punkter, antager modellen en ret linje mellem dem.</a:t>
          </a:r>
        </a:p>
        <a:p>
          <a:pPr algn="l"/>
          <a:r>
            <a:rPr lang="da-DK"/>
            <a:t>
</a:t>
          </a:r>
        </a:p>
        <a:p>
          <a:pPr algn="l"/>
          <a:r>
            <a:rPr lang="da-DK"/>
            <a:t>
Det er standard for denne type opslag, fordi:</a:t>
          </a:r>
        </a:p>
        <a:p>
          <a:pPr algn="l"/>
          <a:r>
            <a:rPr lang="da-DK"/>
            <a:t>
- man undgår spring i resultatet</a:t>
          </a:r>
        </a:p>
        <a:p>
          <a:pPr algn="l"/>
          <a:r>
            <a:rPr lang="da-DK"/>
            <a:t>
- man får en glidende beregning</a:t>
          </a:r>
        </a:p>
        <a:p>
          <a:pPr algn="l"/>
          <a:r>
            <a:rPr lang="da-DK"/>
            <a:t>
- det ligger tæt på den måde diagrammer aflæses teknisk</a:t>
          </a:r>
        </a:p>
        <a:p>
          <a:pPr algn="l"/>
          <a:r>
            <a:rPr lang="da-DK"/>
            <a:t>
</a:t>
          </a:r>
        </a:p>
        <a:p>
          <a:pPr algn="l"/>
          <a:r>
            <a:rPr lang="da-DK"/>
            <a:t>
---</a:t>
          </a:r>
        </a:p>
        <a:p>
          <a:pPr algn="l"/>
          <a:r>
            <a:rPr lang="da-DK"/>
            <a:t>
</a:t>
          </a:r>
        </a:p>
        <a:p>
          <a:pPr algn="l"/>
          <a:r>
            <a:rPr lang="da-DK"/>
            <a:t>
## ✅ Konkret eksempel med direkte aflæsning</a:t>
          </a:r>
        </a:p>
        <a:p>
          <a:pPr algn="l"/>
          <a:r>
            <a:rPr lang="da-DK"/>
            <a:t>
</a:t>
          </a:r>
        </a:p>
        <a:p>
          <a:pPr algn="l"/>
          <a:r>
            <a:rPr lang="da-DK"/>
            <a:t>
### Eksempel</a:t>
          </a:r>
        </a:p>
        <a:p>
          <a:pPr algn="l"/>
          <a:r>
            <a:rPr lang="da-DK"/>
            <a:t>
Antag:</a:t>
          </a:r>
        </a:p>
        <a:p>
          <a:pPr algn="l"/>
          <a:r>
            <a:rPr lang="da-DK"/>
            <a:t>
- **Eu = 10 MPa**</a:t>
          </a:r>
        </a:p>
        <a:p>
          <a:pPr algn="l"/>
          <a:r>
            <a:rPr lang="da-DK"/>
            <a:t>
- **Eo = 150 MPa**</a:t>
          </a:r>
        </a:p>
        <a:p>
          <a:pPr algn="l"/>
          <a:r>
            <a:rPr lang="da-DK"/>
            <a:t>
- **lagtype = 2/flere lag**</a:t>
          </a:r>
        </a:p>
        <a:p>
          <a:pPr algn="l"/>
          <a:r>
            <a:rPr lang="da-DK"/>
            <a:t>
</a:t>
          </a:r>
        </a:p>
        <a:p>
          <a:pPr algn="l"/>
          <a:r>
            <a:rPr lang="da-DK"/>
            <a:t>
Så går modellen til:</a:t>
          </a:r>
        </a:p>
        <a:p>
          <a:pPr algn="l"/>
          <a:r>
            <a:rPr lang="da-DK"/>
            <a:t>
- **fane 7**</a:t>
          </a:r>
        </a:p>
        <a:p>
          <a:pPr algn="l"/>
          <a:r>
            <a:rPr lang="da-DK"/>
            <a:t>
- kolonne **T** (150 MPa, 2/flere lag)</a:t>
          </a:r>
        </a:p>
        <a:p>
          <a:pPr algn="l"/>
          <a:r>
            <a:rPr lang="da-DK"/>
            <a:t>
- række for **Eu = 10**, altså **T17**</a:t>
          </a:r>
        </a:p>
        <a:p>
          <a:pPr algn="l"/>
          <a:r>
            <a:rPr lang="da-DK"/>
            <a:t>
</a:t>
          </a:r>
        </a:p>
        <a:p>
          <a:pPr algn="l"/>
          <a:r>
            <a:rPr lang="da-DK"/>
            <a:t>
Her står:</a:t>
          </a:r>
        </a:p>
        <a:p>
          <a:pPr algn="l"/>
          <a:r>
            <a:rPr lang="da-DK"/>
            <a:t>
- **T17 = 66,7 cm**</a:t>
          </a:r>
        </a:p>
        <a:p>
          <a:pPr algn="l"/>
          <a:r>
            <a:rPr lang="da-DK"/>
            <a:t>
</a:t>
          </a:r>
        </a:p>
        <a:p>
          <a:pPr algn="l"/>
          <a:r>
            <a:rPr lang="da-DK"/>
            <a:t>
### Hvorfor er det direkte?</a:t>
          </a:r>
        </a:p>
        <a:p>
          <a:pPr algn="l"/>
          <a:r>
            <a:rPr lang="da-DK"/>
            <a:t>
Fordi **Eu = 10** findes præcist som række i lookup-tabellen.  </a:t>
          </a:r>
        </a:p>
        <a:p>
          <a:pPr algn="l"/>
          <a:r>
            <a:rPr lang="da-DK"/>
            <a:t>
Derfor behøver modellen **ikke interpolere i selve beregningen**.</a:t>
          </a:r>
        </a:p>
        <a:p>
          <a:pPr algn="l"/>
          <a:r>
            <a:rPr lang="da-DK"/>
            <a:t>
</a:t>
          </a:r>
        </a:p>
        <a:p>
          <a:pPr algn="l"/>
          <a:r>
            <a:rPr lang="da-DK"/>
            <a:t>
### Hvad sker der så?</a:t>
          </a:r>
        </a:p>
        <a:p>
          <a:pPr algn="l"/>
          <a:r>
            <a:rPr lang="da-DK"/>
            <a:t>
- **T_basis = 66,7 cm**</a:t>
          </a:r>
        </a:p>
        <a:p>
          <a:pPr algn="l"/>
          <a:r>
            <a:rPr lang="da-DK"/>
            <a:t>
- omregnes til **667 mm**</a:t>
          </a:r>
        </a:p>
        <a:p>
          <a:pPr algn="l"/>
          <a:r>
            <a:rPr lang="da-DK"/>
            <a:t>
- korrigeres derefter på fane 2 for </a:t>
          </a:r>
          <a:r>
            <a:rPr lang="el-GR"/>
            <a:t>φ </a:t>
          </a:r>
          <a:r>
            <a:rPr lang="da-DK"/>
            <a:t>og nettype</a:t>
          </a:r>
        </a:p>
        <a:p>
          <a:pPr algn="l"/>
          <a:r>
            <a:rPr lang="da-DK"/>
            <a:t>
</a:t>
          </a:r>
        </a:p>
        <a:p>
          <a:pPr algn="l"/>
          <a:r>
            <a:rPr lang="da-DK"/>
            <a:t>
Det er faktisk tæt på det aktuelle eksempel i din model:</a:t>
          </a:r>
        </a:p>
        <a:p>
          <a:pPr algn="l"/>
          <a:r>
            <a:rPr lang="da-DK"/>
            <a:t>
- N15 = 67 cm</a:t>
          </a:r>
        </a:p>
        <a:p>
          <a:pPr algn="l"/>
          <a:r>
            <a:rPr lang="da-DK"/>
            <a:t>
- N16 = 60 cm</a:t>
          </a:r>
        </a:p>
        <a:p>
          <a:pPr algn="l"/>
          <a:r>
            <a:rPr lang="da-DK"/>
            <a:t>
- N17 = 67 cm  </a:t>
          </a:r>
        </a:p>
        <a:p>
          <a:pPr algn="l"/>
          <a:r>
            <a:rPr lang="da-DK"/>
            <a:t>
Fordi Eu netop rammer et tabelpunkt.</a:t>
          </a:r>
        </a:p>
        <a:p>
          <a:pPr algn="l"/>
          <a:r>
            <a:rPr lang="da-DK"/>
            <a:t>
</a:t>
          </a:r>
        </a:p>
        <a:p>
          <a:pPr algn="l"/>
          <a:r>
            <a:rPr lang="da-DK"/>
            <a:t>
&gt; Bemærk: Selve værdien **66,7 cm** i lookup-tabellen kan godt tidligere være fremkommet ved interpolation fra 7.2. Men i **den konkrete brugerberegning** bruges den direkte.</a:t>
          </a:r>
        </a:p>
        <a:p>
          <a:pPr algn="l"/>
          <a:r>
            <a:rPr lang="da-DK"/>
            <a:t>
</a:t>
          </a:r>
        </a:p>
        <a:p>
          <a:pPr algn="l"/>
          <a:r>
            <a:rPr lang="da-DK"/>
            <a:t>
---</a:t>
          </a:r>
        </a:p>
        <a:p>
          <a:pPr algn="l"/>
          <a:r>
            <a:rPr lang="da-DK"/>
            <a:t>
</a:t>
          </a:r>
        </a:p>
        <a:p>
          <a:pPr algn="l"/>
          <a:r>
            <a:rPr lang="da-DK"/>
            <a:t>
## ✅ Konkret eksempel med lineær interpolation</a:t>
          </a:r>
        </a:p>
        <a:p>
          <a:pPr algn="l"/>
          <a:r>
            <a:rPr lang="da-DK"/>
            <a:t>
</a:t>
          </a:r>
        </a:p>
        <a:p>
          <a:pPr algn="l"/>
          <a:r>
            <a:rPr lang="da-DK"/>
            <a:t>
### Eksempel</a:t>
          </a:r>
        </a:p>
        <a:p>
          <a:pPr algn="l"/>
          <a:r>
            <a:rPr lang="da-DK"/>
            <a:t>
Antag:</a:t>
          </a:r>
        </a:p>
        <a:p>
          <a:pPr algn="l"/>
          <a:r>
            <a:rPr lang="da-DK"/>
            <a:t>
- **Eu = 11 MPa**</a:t>
          </a:r>
        </a:p>
        <a:p>
          <a:pPr algn="l"/>
          <a:r>
            <a:rPr lang="da-DK"/>
            <a:t>
- **Eo = 150 MPa**</a:t>
          </a:r>
        </a:p>
        <a:p>
          <a:pPr algn="l"/>
          <a:r>
            <a:rPr lang="da-DK"/>
            <a:t>
- **lagtype = 2/flere lag**</a:t>
          </a:r>
        </a:p>
        <a:p>
          <a:pPr algn="l"/>
          <a:r>
            <a:rPr lang="da-DK"/>
            <a:t>
</a:t>
          </a:r>
        </a:p>
        <a:p>
          <a:pPr algn="l"/>
          <a:r>
            <a:rPr lang="da-DK"/>
            <a:t>
Så findes **11 MPa ikke** som egen række i 7.1.  </a:t>
          </a:r>
        </a:p>
        <a:p>
          <a:pPr algn="l"/>
          <a:r>
            <a:rPr lang="da-DK"/>
            <a:t>
Den ligger mellem:</a:t>
          </a:r>
        </a:p>
        <a:p>
          <a:pPr algn="l"/>
          <a:r>
            <a:rPr lang="da-DK"/>
            <a:t>
- **Eu = 10** → **T17 = 66,7 cm**</a:t>
          </a:r>
        </a:p>
        <a:p>
          <a:pPr algn="l"/>
          <a:r>
            <a:rPr lang="da-DK"/>
            <a:t>
- **Eu = 12** → **T18 = 60,0 cm**</a:t>
          </a:r>
        </a:p>
        <a:p>
          <a:pPr algn="l"/>
          <a:r>
            <a:rPr lang="da-DK"/>
            <a:t>
</a:t>
          </a:r>
        </a:p>
        <a:p>
          <a:pPr algn="l"/>
          <a:r>
            <a:rPr lang="da-DK"/>
            <a:t>
Nu interpolerer modellen lineært mellem de to.</a:t>
          </a:r>
        </a:p>
        <a:p>
          <a:pPr algn="l"/>
          <a:r>
            <a:rPr lang="da-DK"/>
            <a:t>
</a:t>
          </a:r>
        </a:p>
        <a:p>
          <a:pPr algn="l"/>
          <a:r>
            <a:rPr lang="da-DK"/>
            <a:t>
### Beregning</a:t>
          </a:r>
        </a:p>
        <a:p>
          <a:pPr algn="l"/>
          <a:r>
            <a:rPr lang="da-DK"/>
            <a:t>
T = 66,7 + ((11 - 10) / (12 - 10)) * (60,0 - 66,7)</a:t>
          </a:r>
        </a:p>
        <a:p>
          <a:pPr algn="l"/>
          <a:r>
            <a:rPr lang="da-DK"/>
            <a:t>
</a:t>
          </a:r>
        </a:p>
        <a:p>
          <a:pPr algn="l"/>
          <a:r>
            <a:rPr lang="da-DK"/>
            <a:t>
Det giver:</a:t>
          </a:r>
        </a:p>
        <a:p>
          <a:pPr algn="l"/>
          <a:r>
            <a:rPr lang="da-DK"/>
            <a:t>
T = 66,7 + 0,5 * (-6,7) = ca. 63,35 cm</a:t>
          </a:r>
        </a:p>
        <a:p>
          <a:pPr algn="l"/>
          <a:r>
            <a:rPr lang="da-DK"/>
            <a:t>
</a:t>
          </a:r>
        </a:p>
        <a:p>
          <a:pPr algn="l"/>
          <a:r>
            <a:rPr lang="da-DK"/>
            <a:t>
Så:</a:t>
          </a:r>
        </a:p>
        <a:p>
          <a:pPr algn="l"/>
          <a:r>
            <a:rPr lang="da-DK"/>
            <a:t>
- **T_basis ≈ 63,4 cm**</a:t>
          </a:r>
        </a:p>
        <a:p>
          <a:pPr algn="l"/>
          <a:r>
            <a:rPr lang="da-DK"/>
            <a:t>
- dvs. ca. **634 mm** før korrektioner</a:t>
          </a:r>
        </a:p>
        <a:p>
          <a:pPr algn="l"/>
          <a:r>
            <a:rPr lang="da-DK"/>
            <a:t>
</a:t>
          </a:r>
        </a:p>
        <a:p>
          <a:pPr algn="l"/>
          <a:r>
            <a:rPr lang="da-DK"/>
            <a:t>
### Hvorfor interpolation her?</a:t>
          </a:r>
        </a:p>
        <a:p>
          <a:pPr algn="l"/>
          <a:r>
            <a:rPr lang="da-DK"/>
            <a:t>
Fordi 11 MPa ligger midt mellem to kendte Eu-punkter i tabellen.</a:t>
          </a:r>
        </a:p>
        <a:p>
          <a:pPr algn="l"/>
          <a:r>
            <a:rPr lang="da-DK"/>
            <a:t>
</a:t>
          </a:r>
        </a:p>
        <a:p>
          <a:pPr algn="l"/>
          <a:r>
            <a:rPr lang="da-DK"/>
            <a:t>
---</a:t>
          </a:r>
        </a:p>
        <a:p>
          <a:pPr algn="l"/>
          <a:r>
            <a:rPr lang="da-DK"/>
            <a:t>
</a:t>
          </a:r>
        </a:p>
        <a:p>
          <a:pPr algn="l"/>
          <a:r>
            <a:rPr lang="da-DK"/>
            <a:t>
## 🔍 Konkret eksempel på en celle i 7.1, der selv er interpoleret</a:t>
          </a:r>
        </a:p>
        <a:p>
          <a:pPr algn="l"/>
          <a:r>
            <a:rPr lang="da-DK"/>
            <a:t>
Lad os tage den celle, vi talte om før:</a:t>
          </a:r>
        </a:p>
        <a:p>
          <a:pPr algn="l"/>
          <a:r>
            <a:rPr lang="da-DK"/>
            <a:t>
</a:t>
          </a:r>
        </a:p>
        <a:p>
          <a:pPr algn="l"/>
          <a:r>
            <a:rPr lang="da-DK"/>
            <a:t>
- **O24 = 41,4 cm**</a:t>
          </a:r>
        </a:p>
        <a:p>
          <a:pPr algn="l"/>
          <a:r>
            <a:rPr lang="da-DK"/>
            <a:t>
- det svarer til:</a:t>
          </a:r>
        </a:p>
        <a:p>
          <a:pPr algn="l"/>
          <a:r>
            <a:rPr lang="da-DK"/>
            <a:t>
  - **Eu = 35 MPa**</a:t>
          </a:r>
        </a:p>
        <a:p>
          <a:pPr algn="l"/>
          <a:r>
            <a:rPr lang="da-DK"/>
            <a:t>
  - **Eo = 120 MPa**</a:t>
          </a:r>
        </a:p>
        <a:p>
          <a:pPr algn="l"/>
          <a:r>
            <a:rPr lang="da-DK"/>
            <a:t>
  - **uarmeret**</a:t>
          </a:r>
        </a:p>
        <a:p>
          <a:pPr algn="l"/>
          <a:r>
            <a:rPr lang="da-DK"/>
            <a:t>
</a:t>
          </a:r>
        </a:p>
        <a:p>
          <a:pPr algn="l"/>
          <a:r>
            <a:rPr lang="da-DK"/>
            <a:t>
I rådata i sektion **7.2** for **Eo = 120 MPa** findes 35 MPa ikke direkte.  </a:t>
          </a:r>
        </a:p>
        <a:p>
          <a:pPr algn="l"/>
          <a:r>
            <a:rPr lang="da-DK"/>
            <a:t>
De nærmeste rå punkter er:</a:t>
          </a:r>
        </a:p>
        <a:p>
          <a:pPr algn="l"/>
          <a:r>
            <a:rPr lang="da-DK"/>
            <a:t>
- **40 cm → Eu = 36**</a:t>
          </a:r>
        </a:p>
        <a:p>
          <a:pPr algn="l"/>
          <a:r>
            <a:rPr lang="da-DK"/>
            <a:t>
- **50 cm → Eu = 29**</a:t>
          </a:r>
        </a:p>
        <a:p>
          <a:pPr algn="l"/>
          <a:r>
            <a:rPr lang="da-DK"/>
            <a:t>
</a:t>
          </a:r>
        </a:p>
        <a:p>
          <a:pPr algn="l"/>
          <a:r>
            <a:rPr lang="da-DK"/>
            <a:t>
Derfor er **41,4 cm** lavet ved lineær interpolation mellem de to rå datapunkter.</a:t>
          </a:r>
        </a:p>
        <a:p>
          <a:pPr algn="l"/>
          <a:r>
            <a:rPr lang="da-DK"/>
            <a:t>
</a:t>
          </a:r>
        </a:p>
        <a:p>
          <a:pPr algn="l"/>
          <a:r>
            <a:rPr lang="da-DK"/>
            <a:t>
Så:</a:t>
          </a:r>
        </a:p>
        <a:p>
          <a:pPr algn="l"/>
          <a:r>
            <a:rPr lang="da-DK"/>
            <a:t>
- i **7.1** er O24 en **interpoleret tabelværdi**</a:t>
          </a:r>
        </a:p>
        <a:p>
          <a:pPr algn="l"/>
          <a:r>
            <a:rPr lang="da-DK"/>
            <a:t>
- men hvis en bruger bagefter slår præcis **Eu = 35** op i 7.1, så bruges **O24 direkte** i brugerberegningen</a:t>
          </a:r>
        </a:p>
        <a:p>
          <a:pPr algn="l"/>
          <a:r>
            <a:rPr lang="da-DK"/>
            <a:t>
</a:t>
          </a:r>
        </a:p>
        <a:p>
          <a:pPr algn="l"/>
          <a:r>
            <a:rPr lang="da-DK"/>
            <a:t>
Det er tit dér forvirringen opstår.</a:t>
          </a:r>
        </a:p>
        <a:p>
          <a:pPr algn="l"/>
          <a:r>
            <a:rPr lang="da-DK"/>
            <a:t>
</a:t>
          </a:r>
        </a:p>
        <a:p>
          <a:pPr algn="l"/>
          <a:r>
            <a:rPr lang="da-DK"/>
            <a:t>
---</a:t>
          </a:r>
        </a:p>
        <a:p>
          <a:pPr algn="l"/>
          <a:r>
            <a:rPr lang="da-DK"/>
            <a:t>
</a:t>
          </a:r>
        </a:p>
        <a:p>
          <a:pPr algn="l"/>
          <a:r>
            <a:rPr lang="da-DK"/>
            <a:t>
## 🧩 Praktisk tommelfingerregel</a:t>
          </a:r>
        </a:p>
        <a:p>
          <a:pPr algn="l"/>
          <a:r>
            <a:rPr lang="da-DK"/>
            <a:t>
</a:t>
          </a:r>
        </a:p>
        <a:p>
          <a:pPr algn="l"/>
          <a:r>
            <a:rPr lang="da-DK"/>
            <a:t>
### I tabel 7.1:</a:t>
          </a:r>
        </a:p>
        <a:p>
          <a:pPr algn="l"/>
          <a:r>
            <a:rPr lang="da-DK"/>
            <a:t>
- **heltal som 110, 100, 90, 80, 70, 60, 50, 40, 30, 20, 10, 0**</a:t>
          </a:r>
        </a:p>
        <a:p>
          <a:pPr algn="l"/>
          <a:r>
            <a:rPr lang="da-DK"/>
            <a:t>
  er ofte **direkte aflæst**</a:t>
          </a:r>
        </a:p>
        <a:p>
          <a:pPr algn="l"/>
          <a:r>
            <a:rPr lang="da-DK"/>
            <a:t>
- **decimaler som 41,4 / 31,4 / 24,3 / 83,3 / 96,7**</a:t>
          </a:r>
        </a:p>
        <a:p>
          <a:pPr algn="l"/>
          <a:r>
            <a:rPr lang="da-DK"/>
            <a:t>
  er ofte **interpolerede**</a:t>
          </a:r>
        </a:p>
        <a:p>
          <a:pPr algn="l"/>
          <a:r>
            <a:rPr lang="da-DK"/>
            <a:t>
</a:t>
          </a:r>
        </a:p>
        <a:p>
          <a:pPr algn="l"/>
          <a:r>
            <a:rPr lang="da-DK"/>
            <a:t>
Men ikke altid — fordi nogle rådata i 7.2 også selv indeholder decimaler.</a:t>
          </a:r>
        </a:p>
        <a:p>
          <a:pPr algn="l"/>
          <a:r>
            <a:rPr lang="da-DK"/>
            <a:t>
</a:t>
          </a:r>
        </a:p>
        <a:p>
          <a:pPr algn="l"/>
          <a:r>
            <a:rPr lang="da-DK"/>
            <a:t>
---</a:t>
          </a:r>
        </a:p>
        <a:p>
          <a:pPr algn="l"/>
          <a:r>
            <a:rPr lang="da-DK"/>
            <a:t>
</a:t>
          </a:r>
        </a:p>
        <a:p>
          <a:pPr algn="l"/>
          <a:r>
            <a:rPr lang="da-DK"/>
            <a:t>
## 🧠 Den enkle huskeregel</a:t>
          </a:r>
        </a:p>
        <a:p>
          <a:pPr algn="l"/>
          <a:r>
            <a:rPr lang="da-DK"/>
            <a:t>
- **7.2** = rå diagramdata  </a:t>
          </a:r>
        </a:p>
        <a:p>
          <a:pPr algn="l"/>
          <a:r>
            <a:rPr lang="da-DK"/>
            <a:t>
- **7.1** = bearbejdet opslagstabel  </a:t>
          </a:r>
        </a:p>
        <a:p>
          <a:pPr algn="l"/>
          <a:r>
            <a:rPr lang="da-DK"/>
            <a:t>
- **fane 2** = brugerens faktiske beregning</a:t>
          </a:r>
        </a:p>
        <a:p>
          <a:pPr algn="l"/>
          <a:r>
            <a:rPr lang="da-DK"/>
            <a:t>
</a:t>
          </a:r>
        </a:p>
        <a:p>
          <a:pPr algn="l"/>
          <a:r>
            <a:rPr lang="da-DK"/>
            <a:t>
Så spørg altid:</a:t>
          </a:r>
        </a:p>
        <a:p>
          <a:pPr algn="l"/>
          <a:r>
            <a:rPr lang="da-DK"/>
            <a:t>
</a:t>
          </a:r>
        </a:p>
        <a:p>
          <a:pPr algn="l"/>
          <a:r>
            <a:rPr lang="da-DK"/>
            <a:t>
### “Interpoleret hvor?”</a:t>
          </a:r>
        </a:p>
        <a:p>
          <a:pPr algn="l"/>
          <a:r>
            <a:rPr lang="da-DK"/>
            <a:t>
Der er to mulige svar:</a:t>
          </a:r>
        </a:p>
        <a:p>
          <a:pPr algn="l"/>
          <a:r>
            <a:rPr lang="da-DK"/>
            <a:t>
1. **Da lookup-tabellen blev bygget fra rådata**  </a:t>
          </a:r>
        </a:p>
        <a:p>
          <a:pPr algn="l"/>
          <a:r>
            <a:rPr lang="da-DK"/>
            <a:t>
2. **Da brugerens aktuelle Eu blev beregnet mellem to lookup-rækker**</a:t>
          </a:r>
        </a:p>
        <a:p>
          <a:pPr algn="l"/>
          <a:r>
            <a:rPr lang="da-DK"/>
            <a:t>
</a:t>
          </a:r>
        </a:p>
        <a:p>
          <a:pPr algn="l"/>
          <a:r>
            <a:rPr lang="da-DK"/>
            <a:t>
Det centrale princip er:</a:t>
          </a:r>
        </a:p>
        <a:p>
          <a:pPr algn="l"/>
          <a:r>
            <a:rPr lang="da-DK"/>
            <a:t>
</a:t>
          </a:r>
        </a:p>
        <a:p>
          <a:pPr algn="l"/>
          <a:r>
            <a:rPr lang="da-DK"/>
            <a:t>
```excel</a:t>
          </a:r>
        </a:p>
        <a:p>
          <a:pPr algn="l"/>
          <a:r>
            <a:rPr lang="da-DK"/>
            <a:t>
1) Vælg kolonne ud fra Eo + lagtype</a:t>
          </a:r>
        </a:p>
        <a:p>
          <a:pPr algn="l"/>
          <a:r>
            <a:rPr lang="da-DK"/>
            <a:t>
2) Find Eu-række</a:t>
          </a:r>
        </a:p>
        <a:p>
          <a:pPr algn="l"/>
          <a:r>
            <a:rPr lang="da-DK"/>
            <a:t>
3) Hent T_low og T_high</a:t>
          </a:r>
        </a:p>
        <a:p>
          <a:pPr algn="l"/>
          <a:r>
            <a:rPr lang="da-DK"/>
            <a:t>
4) Interpoler hvis Eu ligger mellem to rækker</a:t>
          </a:r>
        </a:p>
        <a:p>
          <a:pPr algn="l"/>
          <a:r>
            <a:rPr lang="da-DK"/>
            <a:t>
5) Brug resultatet som T_basis</a:t>
          </a:r>
        </a:p>
        <a:p>
          <a:pPr algn="l"/>
          <a:r>
            <a:rPr lang="da-DK"/>
            <a:t>
6) Korrigér for </a:t>
          </a:r>
          <a:r>
            <a:rPr lang="el-GR"/>
            <a:t>φ </a:t>
          </a:r>
          <a:r>
            <a:rPr lang="da-DK"/>
            <a:t>og nettype</a:t>
          </a:r>
        </a:p>
        <a:p>
          <a:pPr algn="l"/>
          <a:r>
            <a:rPr lang="da-DK"/>
            <a:t>
```</a:t>
          </a:r>
        </a:p>
        <a:p>
          <a:pPr algn="l"/>
          <a:r>
            <a:rPr lang="da-DK"/>
            <a:t>
</a:t>
          </a:r>
        </a:p>
        <a:p>
          <a:pPr algn="l"/>
          <a:r>
            <a:rPr lang="da-DK"/>
            <a:t>
Typisk formelkæde konceptuelt:</a:t>
          </a:r>
        </a:p>
        <a:p>
          <a:pPr algn="l"/>
          <a:r>
            <a:rPr lang="da-DK"/>
            <a:t>
</a:t>
          </a:r>
        </a:p>
        <a:p>
          <a:pPr algn="l"/>
          <a:r>
            <a:rPr lang="da-DK"/>
            <a:t>
```excel</a:t>
          </a:r>
        </a:p>
        <a:p>
          <a:pPr algn="l"/>
          <a:r>
            <a:rPr lang="da-DK"/>
            <a:t>
SAMMENLIGN(Eu; lookup-rækker; 1)</a:t>
          </a:r>
        </a:p>
        <a:p>
          <a:pPr algn="l"/>
          <a:r>
            <a:rPr lang="da-DK"/>
            <a:t>
INDEKS(lookup-tabel; række; kolonne)</a:t>
          </a:r>
        </a:p>
        <a:p>
          <a:pPr algn="l"/>
          <a:r>
            <a:rPr lang="da-DK"/>
            <a:t>
lineær interpolation mellem to nabopunkter</a:t>
          </a:r>
        </a:p>
        <a:p>
          <a:pPr algn="l"/>
          <a:r>
            <a:rPr lang="da-DK"/>
            <a:t>
T_armeret = T_basis * samlet faktor</a:t>
          </a:r>
        </a:p>
        <a:p>
          <a:pPr algn="l"/>
          <a:r>
            <a:rPr lang="da-DK"/>
            <a:t>
```</a:t>
          </a:r>
        </a:p>
        <a:p>
          <a:pPr algn="l"/>
          <a:r>
            <a:rPr lang="da-DK"/>
            <a:t>
</a:t>
          </a:r>
        </a:p>
        <a:p>
          <a:pPr algn="l"/>
          <a:r>
            <a:rPr lang="da-DK"/>
            <a:t>
Det vigtige skel er:</a:t>
          </a:r>
        </a:p>
        <a:p>
          <a:pPr algn="l"/>
          <a:r>
            <a:rPr lang="da-DK"/>
            <a:t>
- **direkte aflæsning i 7.1** = Eu matcher en række</a:t>
          </a:r>
        </a:p>
        <a:p>
          <a:pPr algn="l"/>
          <a:r>
            <a:rPr lang="da-DK"/>
            <a:t>
- **lineær interpolation i 7.1** = Eu ligger mellem rækker</a:t>
          </a:r>
        </a:p>
        <a:p>
          <a:pPr algn="l"/>
          <a:r>
            <a:rPr lang="da-DK"/>
            <a:t>
- **direkte aflæsning i 7.2** = lookup-cellen findes som råt datapunkt</a:t>
          </a:r>
        </a:p>
        <a:p>
          <a:pPr algn="l"/>
          <a:r>
            <a:rPr lang="da-DK"/>
            <a:t>
- **lineær interpolation i 7.2** = lookup-cellen blev først konstrueret mellem rå datapunkter</a:t>
          </a:r>
        </a:p>
        <a:p>
          <a:pPr algn="l"/>
          <a:r>
            <a:rPr lang="da-DK"/>
            <a:t>
</a:t>
          </a:r>
        </a:p>
        <a:p>
          <a:pPr algn="l"/>
          <a:r>
            <a:rPr lang="da-DK"/>
            <a:t>
</a:t>
          </a:r>
        </a:p>
      </xdr:txBody>
    </xdr:sp>
    <xdr:clientData/>
  </xdr:twoCellAnchor>
  <xdr:twoCellAnchor>
    <xdr:from>
      <xdr:col>10</xdr:col>
      <xdr:colOff>508000</xdr:colOff>
      <xdr:row>42</xdr:row>
      <xdr:rowOff>34925</xdr:rowOff>
    </xdr:from>
    <xdr:to>
      <xdr:col>21</xdr:col>
      <xdr:colOff>406400</xdr:colOff>
      <xdr:row>101</xdr:row>
      <xdr:rowOff>82489</xdr:rowOff>
    </xdr:to>
    <xdr:sp macro="" textlink="">
      <xdr:nvSpPr>
        <xdr:cNvPr id="5" name="Forklaring_Flow_7_1_7_2_Ark1">
          <a:extLst>
            <a:ext uri="{FF2B5EF4-FFF2-40B4-BE49-F238E27FC236}">
              <a16:creationId xmlns:a16="http://schemas.microsoft.com/office/drawing/2014/main" id="{860703E5-BCCA-335F-710A-ED9A526E8FC6}"/>
            </a:ext>
          </a:extLst>
        </xdr:cNvPr>
        <xdr:cNvSpPr txBox="1"/>
      </xdr:nvSpPr>
      <xdr:spPr>
        <a:xfrm>
          <a:off x="6604000" y="8035925"/>
          <a:ext cx="6604000" cy="11287064"/>
        </a:xfrm>
        <a:prstGeom prst="rect">
          <a:avLst/>
        </a:prstGeom>
        <a:solidFill>
          <a:srgbClr val="FFF2CC"/>
        </a:solidFill>
        <a:ln>
          <a:solidFill>
            <a:srgbClr val="305496"/>
          </a:solidFill>
        </a:ln>
      </xdr:spPr>
      <xdr:txBody>
        <a:bodyPr vertOverflow="overflow" vert="horz" wrap="square" rtlCol="0" anchor="t">
          <a:spAutoFit/>
        </a:bodyPr>
        <a:lstStyle/>
        <a:p>
          <a:pPr algn="l"/>
          <a:r>
            <a:rPr kumimoji="0" lang="da-DK" sz="1100" b="0" i="0" u="none" strike="noStrike" kern="0" cap="none" spc="0" normalizeH="0" baseline="0" noProof="0">
              <a:ln>
                <a:noFill/>
              </a:ln>
              <a:solidFill>
                <a:srgbClr val="000000"/>
              </a:solidFill>
              <a:effectLst/>
              <a:uLnTx/>
              <a:uFillTx/>
              <a:latin typeface="Aptos"/>
            </a:rPr>
            <a:t>Forklaring af beregningsflow: rådata i 7.2 → lookup-tabel 7.1 → konkret brugerberegning
1) Rådata i sektion 7.2
Tabellerne i 7.2 er de digitaliserede rå data fra designdiagrammerne. Hver serie beskriver sammenhængen mellem bærelagstykkelse (cm) og Eu for en bestemt kombination af Eo og lagtype (uarmeret, 1 lag eller 2/flere lag). Råtabellerne har ikke nødvendigvis samme Eu-punkter, samme tykkelsestrin eller samme gyldighedsområde.
2) Hvorfor 7.1 overhovedet findes
Fordi 7.2 består af flere forskellige rå serier, er tabel 7.1 lavet som en harmoniseret lookup-tabel med et fælles sæt Eu-rækker. Det gør resten af værktøjet enklere og mere overskueligt, fordi fane 2 så kan slå op i én samlet tabel i stedet for direkte i flere rå diagramserier.
3) Hvordan tabel 7.1 dannes fra 7.2</a:t>
          </a:r>
        </a:p>
        <a:p>
          <a:pPr algn="l"/>
          <a:r>
            <a:rPr kumimoji="0" lang="da-DK" sz="1100" b="0" i="0" u="none" strike="noStrike" kern="0" cap="none" spc="0" normalizeH="0" baseline="0" noProof="0">
              <a:ln>
                <a:noFill/>
              </a:ln>
              <a:solidFill>
                <a:srgbClr val="000000"/>
              </a:solidFill>
              <a:effectLst/>
              <a:uLnTx/>
              <a:uFillTx/>
              <a:latin typeface="Aptos"/>
            </a:rPr>
            <a:t>For hver kolonne i 7.1 vælges først den relevante rå serie i 7.2 ud fra kombinationen af Eo og lagtype. Derefter gennemgås Eu-rækkerne i 7.1 én for én.
• Hvis den pågældende Eu-værdi findes direkte som et råt datapunkt i 7.2, overføres tykkelsen direkte til 7.1. Det kaldes direkte aflæsning.
• Hvis Eu-værdien ikke findes direkte i rådata, men ligger mellem to rå datapunkter i 7.2, beregnes tykkelsen ved lineær interpolation mellem de to nabopunkter. Det kaldes lineær interpolation.
• Hvis Eu-værdien ligger uden for råseriens gyldige område, vises — i 7.1.
4) Hvad farvekoderne i 7.1 betyder
Farvekoderne i 7.1 beskriver kun, hvordan selve tabelcellen i 7.1 er fremkommet fra rådata i 7.2:
• grøn = direkte aflæsning fra 7.2
• gul = lineær interpolation i 7.2 → 7.1
• grå = uden for område
Farvekoderne siger altså ikke i sig selv noget om, hvorvidt den efterfølgende brugerberegning også interpolerer.
5) Hvordan 7.1 bruges i den konkrete beregning på fane 2
Når brugeren indtaster Eu, Eo og lagtype på fane 2, vælger værktøjet først den rigtige kolonne i 7.1 ud fra Eo og lagtype. Derefter findes den relevante Eu-position i 7.1.
• Hvis brugerens Eu præcis matcher en af Eu-rækkerne i 7.1, aflæses værdien direkte i 7.1 og bruges som T_basis.
• Hvis brugerens Eu ligger mellem to Eu-rækker i 7.1, hentes de to naboværdier fra 7.1, og der laves en ny lineær interpolation mellem dem. Resultatet bliver T_basis.
6) Hvorfor der kan forekomme interpolation to gange
Der kan derfor godt være to niveauer:
• Niveau 1: 7.2 → 7.1, når 7.1 bygges op fra rådata.
• Niveau 2: 7.1 → fane 2, når brugerens valgte Eu ligger mellem to Eu-rækker i 7.1.
Det betyder, at en værdi godt kan være interpoleret først ved dannelsen af 7.1 og derefter indgå i endnu en interpolation i den endelige brugerberegning.
7) Hvorfor modellen er bygget sådan
Formålet er at bruge 7.1 som et fælles og ensartet opslagspunkt for hele værktøjet. Det gør beregningen mere robust og lettere at vedligeholde, fordi alle Eo-/lagtype-kombinationer samles i samme struktur. Ulempen er, at man i nogle tilfælde får denne totrins-logik med interpolation både ved dannelsen af 7.1 og ved den endelige beregning.
8) Konkret eksempel på direkte aflæsning i brugerberegningen
Hvis brugeren vælger Eu = 10 MPa, Eo = 150 MPa og 2 lag/flere lag, findes Eu = 10 direkte som række i 7.1. I den relevante kolonne aflæses tykkelsen derfor direkte i 7.1 og bruges som T_basis uden ekstra interpolation på fane 2.
9) Konkret eksempel på interpolation i brugerberegningen
Hvis brugeren i stedet vælger Eu = 11 MPa, Eo = 150 MPa og 2 lag/flere lag, findes Eu = 11 ikke som egen række i 7.1. Derfor hentes først værdien ved Eu = 10 og dernæst værdien ved Eu = 12, og derefter interpoleres lineært mellem de to værdier for at finde T_basis ved Eu = 11.
10) Hovedpointen
7.2 er rådata. 7.1 er en bearbejdet, harmoniseret lookup-tabel. Fane 2 er den konkrete beregning. Direkte aflæsning og interpolation kan derfor forekomme både under opbygningen af 7.1 og under den efterfølgende brugerberegning.</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46" row="1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E6B472-1603-4FDA-B99F-C90016B0B5A8}">
  <we:reference id="WA200009404" version="1.0.0.8" store="Omex" storeType="OMEX"/>
  <we:alternateReferences>
    <we:reference id="WA200009404" version="1.0.0.8" store="WA200009404" storeType="OMEX"/>
  </we:alternateReferences>
  <we:properties>
    <we:property name="claude.fileId" value="&quot;b84fee20-5b32-4d7e-860e-6157ad99e3e4&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zoomScaleNormal="100" workbookViewId="0"/>
  </sheetViews>
  <sheetFormatPr defaultColWidth="8.7109375" defaultRowHeight="15" x14ac:dyDescent="0.25"/>
  <cols>
    <col min="1" max="1" width="9.5703125" customWidth="1"/>
    <col min="2" max="2" width="15.28515625" customWidth="1"/>
    <col min="3" max="3" width="34.28515625" customWidth="1"/>
    <col min="4" max="5" width="41.85546875" customWidth="1"/>
    <col min="6" max="6" width="26.7109375" customWidth="1"/>
  </cols>
  <sheetData>
    <row r="1" spans="1:6" ht="15" customHeight="1" x14ac:dyDescent="0.25">
      <c r="A1" s="3" t="s">
        <v>0</v>
      </c>
      <c r="B1" s="3" t="s">
        <v>1</v>
      </c>
      <c r="C1" s="3" t="s">
        <v>2</v>
      </c>
      <c r="D1" s="3" t="s">
        <v>3</v>
      </c>
      <c r="E1" s="3" t="s">
        <v>4</v>
      </c>
      <c r="F1" s="3" t="s">
        <v>5</v>
      </c>
    </row>
    <row r="2" spans="1:6" ht="79.5" customHeight="1" x14ac:dyDescent="0.25">
      <c r="A2" s="4">
        <v>1</v>
      </c>
      <c r="B2" s="5">
        <v>46162</v>
      </c>
      <c r="C2" s="4" t="s">
        <v>6</v>
      </c>
      <c r="D2" s="4" t="s">
        <v>7</v>
      </c>
      <c r="E2" s="4" t="s">
        <v>8</v>
      </c>
      <c r="F2" s="4" t="s">
        <v>9</v>
      </c>
    </row>
    <row r="3" spans="1:6" ht="15" customHeight="1" x14ac:dyDescent="0.25">
      <c r="A3">
        <v>2</v>
      </c>
      <c r="B3" s="6">
        <v>46162</v>
      </c>
      <c r="C3" t="s">
        <v>10</v>
      </c>
      <c r="D3" t="s">
        <v>11</v>
      </c>
      <c r="E3" t="s">
        <v>12</v>
      </c>
      <c r="F3" t="s">
        <v>13</v>
      </c>
    </row>
    <row r="4" spans="1:6" x14ac:dyDescent="0.25">
      <c r="A4">
        <v>3</v>
      </c>
      <c r="B4" s="126">
        <v>46165</v>
      </c>
      <c r="C4" t="s">
        <v>517</v>
      </c>
      <c r="D4" t="s">
        <v>518</v>
      </c>
      <c r="E4" t="s">
        <v>519</v>
      </c>
      <c r="F4" t="s">
        <v>520</v>
      </c>
    </row>
    <row r="5" spans="1:6" x14ac:dyDescent="0.25">
      <c r="A5">
        <v>4</v>
      </c>
      <c r="B5" s="126">
        <v>46165</v>
      </c>
      <c r="C5" t="s">
        <v>521</v>
      </c>
      <c r="D5" t="s">
        <v>522</v>
      </c>
      <c r="E5" t="s">
        <v>523</v>
      </c>
      <c r="F5" t="s">
        <v>524</v>
      </c>
    </row>
    <row r="6" spans="1:6" x14ac:dyDescent="0.25">
      <c r="A6">
        <v>5</v>
      </c>
      <c r="B6">
        <v>46165</v>
      </c>
      <c r="C6" t="s">
        <v>525</v>
      </c>
      <c r="D6" t="s">
        <v>526</v>
      </c>
      <c r="E6" t="s">
        <v>527</v>
      </c>
      <c r="F6" t="s">
        <v>528</v>
      </c>
    </row>
    <row r="7" spans="1:6" x14ac:dyDescent="0.25">
      <c r="A7">
        <v>6</v>
      </c>
      <c r="B7">
        <v>46165</v>
      </c>
      <c r="C7" t="s">
        <v>529</v>
      </c>
      <c r="D7" t="s">
        <v>530</v>
      </c>
      <c r="E7" t="s">
        <v>531</v>
      </c>
      <c r="F7" t="s">
        <v>532</v>
      </c>
    </row>
    <row r="8" spans="1:6" x14ac:dyDescent="0.25">
      <c r="A8">
        <v>7</v>
      </c>
      <c r="B8">
        <v>46165</v>
      </c>
      <c r="C8" t="s">
        <v>533</v>
      </c>
      <c r="D8" t="s">
        <v>534</v>
      </c>
      <c r="E8" t="s">
        <v>535</v>
      </c>
      <c r="F8" t="s">
        <v>536</v>
      </c>
    </row>
    <row r="9" spans="1:6" x14ac:dyDescent="0.25">
      <c r="A9">
        <v>8</v>
      </c>
      <c r="B9">
        <v>46165</v>
      </c>
      <c r="C9" t="s">
        <v>537</v>
      </c>
      <c r="D9" t="s">
        <v>538</v>
      </c>
      <c r="E9" t="s">
        <v>539</v>
      </c>
      <c r="F9" t="s">
        <v>540</v>
      </c>
    </row>
    <row r="10" spans="1:6" x14ac:dyDescent="0.25">
      <c r="A10">
        <v>9</v>
      </c>
      <c r="B10">
        <v>46165</v>
      </c>
      <c r="C10" t="s">
        <v>543</v>
      </c>
      <c r="D10" t="s">
        <v>544</v>
      </c>
      <c r="E10" t="s">
        <v>545</v>
      </c>
      <c r="F10" t="s">
        <v>546</v>
      </c>
    </row>
    <row r="11" spans="1:6" x14ac:dyDescent="0.25">
      <c r="A11">
        <v>10</v>
      </c>
      <c r="B11">
        <v>46165</v>
      </c>
      <c r="C11" t="s">
        <v>548</v>
      </c>
      <c r="D11" t="s">
        <v>549</v>
      </c>
      <c r="E11" t="s">
        <v>550</v>
      </c>
      <c r="F11" t="s">
        <v>551</v>
      </c>
    </row>
    <row r="12" spans="1:6" x14ac:dyDescent="0.25">
      <c r="A12">
        <v>11</v>
      </c>
      <c r="B12" s="127">
        <v>46168</v>
      </c>
      <c r="C12" t="s">
        <v>553</v>
      </c>
      <c r="D12" t="s">
        <v>554</v>
      </c>
      <c r="E12" t="s">
        <v>555</v>
      </c>
      <c r="F12" t="s">
        <v>556</v>
      </c>
    </row>
    <row r="13" spans="1:6" x14ac:dyDescent="0.25">
      <c r="A13">
        <v>12</v>
      </c>
      <c r="B13" s="127">
        <v>46168</v>
      </c>
      <c r="C13" t="s">
        <v>557</v>
      </c>
      <c r="D13" t="s">
        <v>558</v>
      </c>
      <c r="E13" t="s">
        <v>559</v>
      </c>
      <c r="F13" t="s">
        <v>560</v>
      </c>
    </row>
    <row r="14" spans="1:6" x14ac:dyDescent="0.25">
      <c r="A14">
        <v>13</v>
      </c>
      <c r="B14" s="127">
        <v>46168</v>
      </c>
      <c r="C14" t="s">
        <v>562</v>
      </c>
      <c r="D14" t="s">
        <v>563</v>
      </c>
      <c r="E14" t="s">
        <v>564</v>
      </c>
      <c r="F14" t="s">
        <v>565</v>
      </c>
    </row>
    <row r="15" spans="1:6" x14ac:dyDescent="0.25">
      <c r="A15">
        <v>14</v>
      </c>
      <c r="B15" s="127">
        <v>46171</v>
      </c>
      <c r="C15" t="s">
        <v>579</v>
      </c>
      <c r="D15" t="s">
        <v>580</v>
      </c>
      <c r="E15" t="s">
        <v>581</v>
      </c>
      <c r="F15" t="s">
        <v>582</v>
      </c>
    </row>
    <row r="16" spans="1:6" x14ac:dyDescent="0.25">
      <c r="A16">
        <v>15</v>
      </c>
      <c r="B16" s="127">
        <v>46181</v>
      </c>
      <c r="C16" t="s">
        <v>583</v>
      </c>
      <c r="D16" t="s">
        <v>584</v>
      </c>
      <c r="E16" t="s">
        <v>585</v>
      </c>
      <c r="F16" t="s">
        <v>586</v>
      </c>
    </row>
    <row r="17" spans="1:6" x14ac:dyDescent="0.25">
      <c r="A17">
        <v>16</v>
      </c>
      <c r="B17" s="127">
        <v>46181</v>
      </c>
      <c r="C17" t="s">
        <v>587</v>
      </c>
      <c r="D17" t="s">
        <v>588</v>
      </c>
      <c r="E17" t="s">
        <v>589</v>
      </c>
      <c r="F17" t="s">
        <v>590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50"/>
  <sheetViews>
    <sheetView topLeftCell="A16" zoomScaleNormal="100" workbookViewId="0">
      <selection activeCell="H48" sqref="H48"/>
    </sheetView>
  </sheetViews>
  <sheetFormatPr defaultColWidth="8.7109375" defaultRowHeight="15" x14ac:dyDescent="0.25"/>
  <cols>
    <col min="1" max="1" width="3" style="7" customWidth="1"/>
    <col min="2" max="2" width="22" style="7" customWidth="1"/>
    <col min="3" max="7" width="12" style="7" customWidth="1"/>
    <col min="8" max="8" width="35" style="7" customWidth="1"/>
    <col min="9" max="16384" width="8.7109375" style="7"/>
  </cols>
  <sheetData>
    <row r="2" spans="2:8" ht="27.75" customHeight="1" x14ac:dyDescent="0.25">
      <c r="B2" s="129" t="s">
        <v>14</v>
      </c>
      <c r="C2" s="129"/>
      <c r="D2" s="129"/>
      <c r="E2" s="129"/>
      <c r="F2" s="129"/>
      <c r="G2" s="129"/>
      <c r="H2" s="129"/>
    </row>
    <row r="4" spans="2:8" ht="15.75" customHeight="1" x14ac:dyDescent="0.25">
      <c r="B4" s="142" t="s">
        <v>15</v>
      </c>
      <c r="C4" s="142"/>
      <c r="D4" s="142"/>
      <c r="E4" s="142"/>
      <c r="F4" s="142"/>
      <c r="G4" s="142"/>
      <c r="H4" s="142"/>
    </row>
    <row r="6" spans="2:8" ht="24.75" customHeight="1" x14ac:dyDescent="0.25">
      <c r="B6" s="141" t="s">
        <v>16</v>
      </c>
      <c r="C6" s="141"/>
      <c r="D6" s="141"/>
      <c r="E6" s="141"/>
      <c r="F6" s="141"/>
      <c r="G6" s="141"/>
      <c r="H6" s="141"/>
    </row>
    <row r="7" spans="2:8" ht="24.75" customHeight="1" x14ac:dyDescent="0.25">
      <c r="B7" s="141"/>
      <c r="C7" s="141"/>
      <c r="D7" s="141"/>
      <c r="E7" s="141"/>
      <c r="F7" s="141"/>
      <c r="G7" s="141"/>
      <c r="H7" s="141"/>
    </row>
    <row r="8" spans="2:8" ht="24.75" customHeight="1" x14ac:dyDescent="0.25">
      <c r="B8" s="141"/>
      <c r="C8" s="141"/>
      <c r="D8" s="141"/>
      <c r="E8" s="141"/>
      <c r="F8" s="141"/>
      <c r="G8" s="141"/>
      <c r="H8" s="141"/>
    </row>
    <row r="10" spans="2:8" ht="21.75" customHeight="1" x14ac:dyDescent="0.25">
      <c r="B10" s="138" t="s">
        <v>17</v>
      </c>
      <c r="C10" s="138"/>
      <c r="D10" s="138"/>
      <c r="E10" s="138"/>
      <c r="F10" s="138"/>
      <c r="G10" s="138"/>
      <c r="H10" s="138"/>
    </row>
    <row r="12" spans="2:8" ht="30" customHeight="1" x14ac:dyDescent="0.25">
      <c r="B12" s="8" t="s">
        <v>18</v>
      </c>
      <c r="C12" s="141" t="s">
        <v>19</v>
      </c>
      <c r="D12" s="141"/>
      <c r="E12" s="141"/>
      <c r="F12" s="141"/>
      <c r="G12" s="141"/>
      <c r="H12" s="141"/>
    </row>
    <row r="13" spans="2:8" ht="30" customHeight="1" x14ac:dyDescent="0.25">
      <c r="B13" s="8" t="s">
        <v>20</v>
      </c>
      <c r="C13" s="141" t="s">
        <v>21</v>
      </c>
      <c r="D13" s="141"/>
      <c r="E13" s="141"/>
      <c r="F13" s="141"/>
      <c r="G13" s="141"/>
      <c r="H13" s="141"/>
    </row>
    <row r="14" spans="2:8" ht="30" customHeight="1" x14ac:dyDescent="0.25">
      <c r="B14" s="8" t="s">
        <v>22</v>
      </c>
      <c r="C14" s="141" t="s">
        <v>23</v>
      </c>
      <c r="D14" s="141"/>
      <c r="E14" s="141"/>
      <c r="F14" s="141"/>
      <c r="G14" s="141"/>
      <c r="H14" s="141"/>
    </row>
    <row r="15" spans="2:8" ht="30" customHeight="1" x14ac:dyDescent="0.25">
      <c r="B15" s="8" t="s">
        <v>24</v>
      </c>
      <c r="C15" s="141" t="s">
        <v>25</v>
      </c>
      <c r="D15" s="141"/>
      <c r="E15" s="141"/>
      <c r="F15" s="141"/>
      <c r="G15" s="141"/>
      <c r="H15" s="141"/>
    </row>
    <row r="16" spans="2:8" ht="30" customHeight="1" x14ac:dyDescent="0.25">
      <c r="B16" s="8" t="s">
        <v>26</v>
      </c>
      <c r="C16" s="141" t="s">
        <v>27</v>
      </c>
      <c r="D16" s="141"/>
      <c r="E16" s="141"/>
      <c r="F16" s="141"/>
      <c r="G16" s="141"/>
      <c r="H16" s="141"/>
    </row>
    <row r="17" spans="2:8" ht="30" customHeight="1" x14ac:dyDescent="0.25">
      <c r="B17" s="8" t="s">
        <v>28</v>
      </c>
      <c r="C17" s="141" t="s">
        <v>29</v>
      </c>
      <c r="D17" s="141"/>
      <c r="E17" s="141"/>
      <c r="F17" s="141"/>
      <c r="G17" s="141"/>
      <c r="H17" s="141"/>
    </row>
    <row r="18" spans="2:8" ht="30" customHeight="1" x14ac:dyDescent="0.25">
      <c r="B18" s="8" t="s">
        <v>30</v>
      </c>
      <c r="C18" s="141" t="s">
        <v>31</v>
      </c>
      <c r="D18" s="141"/>
      <c r="E18" s="141"/>
      <c r="F18" s="141"/>
      <c r="G18" s="141"/>
      <c r="H18" s="141"/>
    </row>
    <row r="19" spans="2:8" ht="30" customHeight="1" x14ac:dyDescent="0.25">
      <c r="B19" s="8" t="s">
        <v>32</v>
      </c>
      <c r="C19" s="141" t="s">
        <v>33</v>
      </c>
      <c r="D19" s="141"/>
      <c r="E19" s="141"/>
      <c r="F19" s="141"/>
      <c r="G19" s="141"/>
      <c r="H19" s="141"/>
    </row>
    <row r="21" spans="2:8" ht="21.75" customHeight="1" x14ac:dyDescent="0.25">
      <c r="B21" s="138" t="s">
        <v>34</v>
      </c>
      <c r="C21" s="138"/>
      <c r="D21" s="138"/>
      <c r="E21" s="138"/>
      <c r="F21" s="138"/>
      <c r="G21" s="138"/>
      <c r="H21" s="138"/>
    </row>
    <row r="22" spans="2:8" ht="30" customHeight="1" x14ac:dyDescent="0.25">
      <c r="B22" s="9" t="s">
        <v>35</v>
      </c>
      <c r="C22" s="141" t="s">
        <v>36</v>
      </c>
      <c r="D22" s="141"/>
      <c r="E22" s="141"/>
      <c r="F22" s="141"/>
      <c r="G22" s="141"/>
      <c r="H22" s="141"/>
    </row>
    <row r="23" spans="2:8" ht="30" customHeight="1" x14ac:dyDescent="0.25">
      <c r="B23" s="9" t="s">
        <v>35</v>
      </c>
      <c r="C23" s="141" t="s">
        <v>37</v>
      </c>
      <c r="D23" s="141"/>
      <c r="E23" s="141"/>
      <c r="F23" s="141"/>
      <c r="G23" s="141"/>
      <c r="H23" s="141"/>
    </row>
    <row r="24" spans="2:8" ht="30" customHeight="1" x14ac:dyDescent="0.25">
      <c r="B24" s="9" t="s">
        <v>35</v>
      </c>
      <c r="C24" s="141" t="s">
        <v>38</v>
      </c>
      <c r="D24" s="141"/>
      <c r="E24" s="141"/>
      <c r="F24" s="141"/>
      <c r="G24" s="141"/>
      <c r="H24" s="141"/>
    </row>
    <row r="25" spans="2:8" ht="30" customHeight="1" x14ac:dyDescent="0.25">
      <c r="B25" s="9" t="s">
        <v>35</v>
      </c>
      <c r="C25" s="141" t="s">
        <v>39</v>
      </c>
      <c r="D25" s="141"/>
      <c r="E25" s="141"/>
      <c r="F25" s="141"/>
      <c r="G25" s="141"/>
      <c r="H25" s="141"/>
    </row>
    <row r="26" spans="2:8" ht="30" customHeight="1" x14ac:dyDescent="0.25">
      <c r="B26" s="9" t="s">
        <v>35</v>
      </c>
      <c r="C26" s="141" t="s">
        <v>40</v>
      </c>
      <c r="D26" s="141"/>
      <c r="E26" s="141"/>
      <c r="F26" s="141"/>
      <c r="G26" s="141"/>
      <c r="H26" s="141"/>
    </row>
    <row r="27" spans="2:8" ht="30" customHeight="1" x14ac:dyDescent="0.25">
      <c r="B27" s="9" t="s">
        <v>35</v>
      </c>
      <c r="C27" s="141" t="s">
        <v>41</v>
      </c>
      <c r="D27" s="141"/>
      <c r="E27" s="141"/>
      <c r="F27" s="141"/>
      <c r="G27" s="141"/>
      <c r="H27" s="141"/>
    </row>
    <row r="29" spans="2:8" ht="21.75" customHeight="1" x14ac:dyDescent="0.25">
      <c r="B29" s="138" t="s">
        <v>42</v>
      </c>
      <c r="C29" s="138"/>
      <c r="D29" s="138"/>
      <c r="E29" s="138"/>
      <c r="F29" s="138"/>
      <c r="G29" s="138"/>
      <c r="H29" s="138"/>
    </row>
    <row r="30" spans="2:8" ht="15" customHeight="1" x14ac:dyDescent="0.25">
      <c r="B30" s="10" t="s">
        <v>43</v>
      </c>
      <c r="C30" s="136" t="s">
        <v>44</v>
      </c>
      <c r="D30" s="136"/>
      <c r="E30" s="136"/>
      <c r="F30" s="140"/>
      <c r="G30" s="140"/>
      <c r="H30" s="140"/>
    </row>
    <row r="31" spans="2:8" ht="30" customHeight="1" x14ac:dyDescent="0.25">
      <c r="B31" s="11" t="s">
        <v>45</v>
      </c>
      <c r="C31" s="139" t="s">
        <v>46</v>
      </c>
      <c r="D31" s="139"/>
      <c r="E31" s="139"/>
      <c r="F31" s="137" t="s">
        <v>47</v>
      </c>
      <c r="G31" s="137"/>
      <c r="H31" s="137"/>
    </row>
    <row r="32" spans="2:8" ht="30" customHeight="1" x14ac:dyDescent="0.25">
      <c r="B32" s="11" t="s">
        <v>48</v>
      </c>
      <c r="C32" s="139" t="s">
        <v>49</v>
      </c>
      <c r="D32" s="139"/>
      <c r="E32" s="139"/>
      <c r="F32" s="137" t="s">
        <v>50</v>
      </c>
      <c r="G32" s="137"/>
      <c r="H32" s="137"/>
    </row>
    <row r="33" spans="2:8" ht="30" customHeight="1" x14ac:dyDescent="0.25">
      <c r="B33" s="11" t="s">
        <v>51</v>
      </c>
      <c r="C33" s="139" t="s">
        <v>52</v>
      </c>
      <c r="D33" s="139"/>
      <c r="E33" s="139"/>
      <c r="F33" s="137" t="s">
        <v>53</v>
      </c>
      <c r="G33" s="137"/>
      <c r="H33" s="137"/>
    </row>
    <row r="34" spans="2:8" ht="30" customHeight="1" x14ac:dyDescent="0.25">
      <c r="B34" s="11" t="s">
        <v>54</v>
      </c>
      <c r="C34" s="139" t="s">
        <v>55</v>
      </c>
      <c r="D34" s="139"/>
      <c r="E34" s="139"/>
      <c r="F34" s="137" t="s">
        <v>56</v>
      </c>
      <c r="G34" s="137"/>
      <c r="H34" s="137"/>
    </row>
    <row r="36" spans="2:8" ht="21.75" customHeight="1" x14ac:dyDescent="0.25">
      <c r="B36" s="138" t="s">
        <v>57</v>
      </c>
      <c r="C36" s="138"/>
      <c r="D36" s="138"/>
      <c r="E36" s="138"/>
      <c r="F36" s="138"/>
      <c r="G36" s="138"/>
      <c r="H36" s="138"/>
    </row>
    <row r="37" spans="2:8" ht="15" customHeight="1" x14ac:dyDescent="0.25">
      <c r="B37" s="10" t="s">
        <v>58</v>
      </c>
      <c r="C37" s="10" t="s">
        <v>1</v>
      </c>
      <c r="D37" s="136" t="s">
        <v>59</v>
      </c>
      <c r="E37" s="136"/>
      <c r="F37" s="136"/>
      <c r="G37" s="136"/>
      <c r="H37" s="136"/>
    </row>
    <row r="38" spans="2:8" ht="30" customHeight="1" x14ac:dyDescent="0.25">
      <c r="B38" s="13" t="s">
        <v>60</v>
      </c>
      <c r="C38" s="12" t="s">
        <v>61</v>
      </c>
      <c r="D38" s="137" t="s">
        <v>62</v>
      </c>
      <c r="E38" s="137"/>
      <c r="F38" s="137"/>
      <c r="G38" s="137"/>
      <c r="H38" s="137"/>
    </row>
    <row r="40" spans="2:8" ht="21.75" customHeight="1" x14ac:dyDescent="0.25">
      <c r="B40" s="138" t="s">
        <v>63</v>
      </c>
      <c r="C40" s="138"/>
      <c r="D40" s="138"/>
      <c r="E40" s="138"/>
      <c r="F40" s="138"/>
      <c r="G40" s="138"/>
      <c r="H40" s="138"/>
    </row>
    <row r="41" spans="2:8" ht="15" customHeight="1" x14ac:dyDescent="0.25">
      <c r="B41" s="14" t="s">
        <v>64</v>
      </c>
      <c r="C41" s="135" t="s">
        <v>65</v>
      </c>
      <c r="D41" s="135"/>
      <c r="E41" s="135"/>
      <c r="F41" s="135"/>
      <c r="G41" s="135"/>
      <c r="H41" s="135"/>
    </row>
    <row r="42" spans="2:8" ht="15" customHeight="1" x14ac:dyDescent="0.25">
      <c r="B42" s="16" t="s">
        <v>66</v>
      </c>
      <c r="C42" s="135" t="s">
        <v>67</v>
      </c>
      <c r="D42" s="135"/>
      <c r="E42" s="135"/>
      <c r="F42" s="135"/>
      <c r="G42" s="135"/>
      <c r="H42" s="135"/>
    </row>
    <row r="43" spans="2:8" ht="15" customHeight="1" x14ac:dyDescent="0.25">
      <c r="B43" s="17" t="s">
        <v>68</v>
      </c>
      <c r="C43" s="135" t="s">
        <v>69</v>
      </c>
      <c r="D43" s="135"/>
      <c r="E43" s="135"/>
      <c r="F43" s="135"/>
      <c r="G43" s="135"/>
      <c r="H43" s="135"/>
    </row>
    <row r="44" spans="2:8" ht="15" customHeight="1" x14ac:dyDescent="0.25">
      <c r="B44" s="18" t="s">
        <v>70</v>
      </c>
      <c r="C44" s="135" t="s">
        <v>71</v>
      </c>
      <c r="D44" s="135"/>
      <c r="E44" s="135"/>
      <c r="F44" s="135"/>
      <c r="G44" s="135"/>
      <c r="H44" s="135"/>
    </row>
    <row r="45" spans="2:8" ht="15" customHeight="1" x14ac:dyDescent="0.25">
      <c r="B45" s="19" t="s">
        <v>72</v>
      </c>
      <c r="C45" s="135" t="s">
        <v>73</v>
      </c>
      <c r="D45" s="135"/>
      <c r="E45" s="135"/>
      <c r="F45" s="135"/>
      <c r="G45" s="135"/>
      <c r="H45" s="135"/>
    </row>
    <row r="46" spans="2:8" ht="15" customHeight="1" x14ac:dyDescent="0.25">
      <c r="B46" s="20" t="s">
        <v>74</v>
      </c>
      <c r="C46" s="135" t="s">
        <v>75</v>
      </c>
      <c r="D46" s="135"/>
      <c r="E46" s="135"/>
      <c r="F46" s="135"/>
      <c r="G46" s="135"/>
      <c r="H46" s="135"/>
    </row>
    <row r="47" spans="2:8" ht="15" customHeight="1" x14ac:dyDescent="0.25">
      <c r="B47" s="21" t="s">
        <v>76</v>
      </c>
      <c r="C47" s="135" t="s">
        <v>77</v>
      </c>
      <c r="D47" s="135"/>
      <c r="E47" s="135"/>
      <c r="F47" s="135"/>
      <c r="G47" s="135"/>
      <c r="H47" s="135"/>
    </row>
    <row r="50" spans="2:8" ht="15" customHeight="1" x14ac:dyDescent="0.25">
      <c r="B50" s="134" t="s">
        <v>78</v>
      </c>
      <c r="C50" s="134"/>
      <c r="D50" s="134"/>
      <c r="E50" s="134"/>
      <c r="F50" s="134"/>
      <c r="G50" s="134"/>
      <c r="H50" s="134"/>
    </row>
  </sheetData>
  <mergeCells count="42">
    <mergeCell ref="B2:H2"/>
    <mergeCell ref="B4:H4"/>
    <mergeCell ref="B6:H8"/>
    <mergeCell ref="B10:H10"/>
    <mergeCell ref="C12:H12"/>
    <mergeCell ref="C13:H13"/>
    <mergeCell ref="C14:H14"/>
    <mergeCell ref="C15:H15"/>
    <mergeCell ref="C16:H16"/>
    <mergeCell ref="C17:H17"/>
    <mergeCell ref="C18:H18"/>
    <mergeCell ref="C19:H19"/>
    <mergeCell ref="B21:H21"/>
    <mergeCell ref="C22:H22"/>
    <mergeCell ref="C23:H23"/>
    <mergeCell ref="C24:H24"/>
    <mergeCell ref="C25:H25"/>
    <mergeCell ref="C26:H26"/>
    <mergeCell ref="C27:H27"/>
    <mergeCell ref="B29:H29"/>
    <mergeCell ref="C30:E30"/>
    <mergeCell ref="F30:H30"/>
    <mergeCell ref="C31:E31"/>
    <mergeCell ref="F31:H31"/>
    <mergeCell ref="C32:E32"/>
    <mergeCell ref="F32:H32"/>
    <mergeCell ref="C33:E33"/>
    <mergeCell ref="F33:H33"/>
    <mergeCell ref="C34:E34"/>
    <mergeCell ref="F34:H34"/>
    <mergeCell ref="B36:H36"/>
    <mergeCell ref="D37:H37"/>
    <mergeCell ref="D38:H38"/>
    <mergeCell ref="B40:H40"/>
    <mergeCell ref="C41:H41"/>
    <mergeCell ref="C42:H42"/>
    <mergeCell ref="B50:H50"/>
    <mergeCell ref="C43:H43"/>
    <mergeCell ref="C44:H44"/>
    <mergeCell ref="C45:H45"/>
    <mergeCell ref="C46:H46"/>
    <mergeCell ref="C47:H4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106"/>
  <sheetViews>
    <sheetView zoomScaleNormal="100" workbookViewId="0">
      <pane xSplit="1" ySplit="3" topLeftCell="B4" activePane="bottomRight" state="frozen"/>
      <selection pane="topRight" activeCell="B1" sqref="B1"/>
      <selection pane="bottomLeft" activeCell="A44" sqref="A44"/>
      <selection pane="bottomRight" activeCell="A15" sqref="A15:XFD15"/>
    </sheetView>
  </sheetViews>
  <sheetFormatPr defaultColWidth="8.7109375" defaultRowHeight="15" x14ac:dyDescent="0.25"/>
  <cols>
    <col min="1" max="1" width="2" style="7" customWidth="1"/>
    <col min="2" max="2" width="39.140625" style="7" customWidth="1"/>
    <col min="3" max="4" width="19" style="7" customWidth="1"/>
    <col min="5" max="9" width="11.42578125" style="7" customWidth="1"/>
    <col min="10" max="10" width="19" style="7" customWidth="1"/>
    <col min="11" max="11" width="38.140625" style="7" customWidth="1"/>
    <col min="12" max="12" width="2" style="7" customWidth="1"/>
    <col min="13" max="13" width="22" style="7" customWidth="1"/>
    <col min="14" max="14" width="14" style="7" customWidth="1"/>
    <col min="15" max="16384" width="8.7109375" style="7"/>
  </cols>
  <sheetData>
    <row r="1" spans="2:14" ht="27.75" customHeight="1" x14ac:dyDescent="0.25">
      <c r="B1" s="129" t="s">
        <v>79</v>
      </c>
      <c r="C1" s="129"/>
      <c r="D1" s="129"/>
      <c r="E1" s="129"/>
      <c r="F1" s="129"/>
      <c r="G1" s="129"/>
      <c r="H1" s="129"/>
      <c r="I1" s="129"/>
      <c r="J1" s="129"/>
    </row>
    <row r="3" spans="2:14" ht="27.75" customHeight="1" x14ac:dyDescent="0.25">
      <c r="B3" s="130" t="s">
        <v>80</v>
      </c>
      <c r="C3" s="130"/>
      <c r="D3" s="130"/>
      <c r="E3" s="130"/>
      <c r="F3" s="130"/>
      <c r="G3" s="130"/>
      <c r="H3" s="130"/>
      <c r="I3" s="130"/>
      <c r="J3" s="130"/>
      <c r="M3" s="157" t="s">
        <v>81</v>
      </c>
      <c r="N3" s="157"/>
    </row>
    <row r="5" spans="2:14" ht="21.75" customHeight="1" x14ac:dyDescent="0.25">
      <c r="B5" s="138" t="s">
        <v>82</v>
      </c>
      <c r="C5" s="138"/>
      <c r="D5" s="138"/>
      <c r="E5" s="138"/>
      <c r="F5" s="138"/>
      <c r="G5" s="138"/>
      <c r="H5" s="138"/>
      <c r="I5" s="138"/>
      <c r="J5" s="138"/>
      <c r="M5" s="2" t="s">
        <v>83</v>
      </c>
      <c r="N5" s="22">
        <f>$C$11</f>
        <v>10</v>
      </c>
    </row>
    <row r="6" spans="2:14" ht="15" customHeight="1" x14ac:dyDescent="0.25">
      <c r="B6" s="134" t="s">
        <v>84</v>
      </c>
      <c r="C6" s="134"/>
      <c r="D6" s="134"/>
      <c r="E6" s="134"/>
      <c r="F6" s="134"/>
      <c r="G6" s="134"/>
      <c r="H6" s="134"/>
      <c r="I6" s="134"/>
      <c r="J6" s="134"/>
      <c r="M6" s="2" t="s">
        <v>85</v>
      </c>
      <c r="N6" s="22">
        <f>$C$17</f>
        <v>150</v>
      </c>
    </row>
    <row r="7" spans="2:14" ht="15" customHeight="1" x14ac:dyDescent="0.25">
      <c r="B7" s="23" t="s">
        <v>86</v>
      </c>
      <c r="C7" s="1" t="s">
        <v>566</v>
      </c>
      <c r="M7" s="2" t="s">
        <v>87</v>
      </c>
      <c r="N7" s="24">
        <f>$C$30</f>
        <v>37.5</v>
      </c>
    </row>
    <row r="8" spans="2:14" ht="15" customHeight="1" x14ac:dyDescent="0.25">
      <c r="B8" s="23" t="s">
        <v>88</v>
      </c>
      <c r="C8" s="25">
        <v>54</v>
      </c>
      <c r="D8" s="134" t="s">
        <v>89</v>
      </c>
      <c r="E8" s="134"/>
      <c r="F8" s="134"/>
      <c r="G8" s="134"/>
      <c r="H8" s="134"/>
      <c r="I8" s="134"/>
      <c r="J8" s="134"/>
      <c r="M8" s="2" t="s">
        <v>90</v>
      </c>
      <c r="N8" s="26" t="str">
        <f>$C$43</f>
        <v>2 lag/flere lag</v>
      </c>
    </row>
    <row r="9" spans="2:14" ht="15" customHeight="1" x14ac:dyDescent="0.25">
      <c r="B9" s="23" t="s">
        <v>91</v>
      </c>
      <c r="C9" s="27">
        <v>10</v>
      </c>
      <c r="D9" s="134" t="s">
        <v>92</v>
      </c>
      <c r="E9" s="134"/>
      <c r="F9" s="134"/>
      <c r="G9" s="134"/>
      <c r="H9" s="134"/>
      <c r="I9" s="134"/>
      <c r="J9" s="134"/>
    </row>
    <row r="10" spans="2:14" ht="15" customHeight="1" x14ac:dyDescent="0.25">
      <c r="B10" s="23" t="s">
        <v>93</v>
      </c>
      <c r="C10" s="28" t="str">
        <f>IF(C7="Via vingestyrke (Cv)",IFERROR(IF(ISBLANK(C8),"",INDEX('7. Opslagstabeller'!$B$107:$D$112,MATCH(C8,INDEX('7. Opslagstabeller'!$B$107:$D$112,0,1),1),3)),"-"),"-")</f>
        <v>-</v>
      </c>
      <c r="D10" s="2" t="s">
        <v>94</v>
      </c>
      <c r="M10" s="2" t="s">
        <v>95</v>
      </c>
      <c r="N10" s="26">
        <f>IF($N$8="1 lag",1,2)</f>
        <v>2</v>
      </c>
    </row>
    <row r="11" spans="2:14" ht="15.75" customHeight="1" x14ac:dyDescent="0.25">
      <c r="B11" s="23" t="s">
        <v>96</v>
      </c>
      <c r="C11" s="29">
        <f>IF(C7="Direkte (Eu)",C9,C10)</f>
        <v>10</v>
      </c>
      <c r="M11" s="2" t="s">
        <v>97</v>
      </c>
      <c r="N11" s="26">
        <f>IF($N$6&lt;=30,2,IF($N$6&lt;=45,5,IF($N$6&lt;=60,8,IF($N$6&lt;=80,11,IF($N$6&lt;=120,14,17)))))</f>
        <v>17</v>
      </c>
    </row>
    <row r="12" spans="2:14" ht="15" customHeight="1" x14ac:dyDescent="0.25">
      <c r="M12" s="2" t="s">
        <v>98</v>
      </c>
      <c r="N12" s="26">
        <f>MATCH($N$5,'7. Opslagstabeller'!$B$10:$B$27,1)</f>
        <v>8</v>
      </c>
    </row>
    <row r="13" spans="2:14" ht="21.75" customHeight="1" x14ac:dyDescent="0.25">
      <c r="B13" s="138" t="s">
        <v>99</v>
      </c>
      <c r="C13" s="138"/>
      <c r="D13" s="138"/>
      <c r="E13" s="138"/>
      <c r="F13" s="138"/>
      <c r="G13" s="138"/>
      <c r="H13" s="138"/>
      <c r="I13" s="138"/>
      <c r="J13" s="138"/>
      <c r="M13" s="2" t="s">
        <v>100</v>
      </c>
      <c r="N13" s="22">
        <f>INDEX('7. Opslagstabeller'!$B$10:$B$27,$N$12)</f>
        <v>10</v>
      </c>
    </row>
    <row r="14" spans="2:14" ht="15" customHeight="1" x14ac:dyDescent="0.25">
      <c r="B14" s="134" t="s">
        <v>101</v>
      </c>
      <c r="C14" s="134"/>
      <c r="D14" s="134"/>
      <c r="E14" s="134"/>
      <c r="F14" s="134"/>
      <c r="G14" s="134"/>
      <c r="H14" s="134"/>
      <c r="I14" s="134"/>
      <c r="J14" s="134"/>
      <c r="M14" s="2" t="s">
        <v>102</v>
      </c>
      <c r="N14" s="22">
        <f>IFERROR(INDEX('7. Opslagstabeller'!$B$10:$B$27,$N$12+1),"")</f>
        <v>12</v>
      </c>
    </row>
    <row r="15" spans="2:14" ht="15" customHeight="1" x14ac:dyDescent="0.25">
      <c r="B15" s="23" t="s">
        <v>103</v>
      </c>
      <c r="C15" s="149" t="s">
        <v>567</v>
      </c>
      <c r="D15" s="149"/>
      <c r="M15" s="2" t="s">
        <v>104</v>
      </c>
      <c r="N15" s="30">
        <f ca="1">IFERROR(IF(ISNUMBER(INDEX('7. Opslagstabeller'!$B$10:$T$27,$N$12,$N$11+$N$10)),INDEX('7. Opslagstabeller'!$B$10:$T$27,$N$12,$N$11+$N$10),""),"")</f>
        <v>66.7</v>
      </c>
    </row>
    <row r="16" spans="2:14" ht="15" customHeight="1" x14ac:dyDescent="0.25">
      <c r="B16" s="23" t="s">
        <v>105</v>
      </c>
      <c r="C16" s="27"/>
      <c r="D16" s="134" t="s">
        <v>106</v>
      </c>
      <c r="E16" s="134"/>
      <c r="F16" s="134"/>
      <c r="G16" s="134"/>
      <c r="H16" s="134"/>
      <c r="I16" s="134"/>
      <c r="J16" s="134"/>
      <c r="M16" s="2" t="s">
        <v>107</v>
      </c>
      <c r="N16" s="30">
        <f ca="1">IFERROR(IF(ISNUMBER(INDEX('7. Opslagstabeller'!$B$10:$T$27,$N$12+1,$N$11+$N$10)),INDEX('7. Opslagstabeller'!$B$10:$T$27,$N$12+1,$N$11+$N$10),""),"")</f>
        <v>60</v>
      </c>
    </row>
    <row r="17" spans="2:14" ht="15.75" customHeight="1" x14ac:dyDescent="0.25">
      <c r="B17" s="23" t="s">
        <v>108</v>
      </c>
      <c r="C17" s="29">
        <f>IF(C15="Indtast Eo direkte",C16,IFERROR(VALUE(MID(C15,FIND("Eo=",C15)+3,FIND(")",C15,FIND("Eo=",C15))-FIND("Eo=",C15)-3)),""))</f>
        <v>150</v>
      </c>
      <c r="M17" s="2" t="s">
        <v>109</v>
      </c>
      <c r="N17" s="30">
        <f ca="1">IFERROR(IF(AND(ISNUMBER($N$15),ISNUMBER($N$16),ISNUMBER($N$14),$N$14&lt;&gt;$N$13),$N$15+($N$5-$N$13)/($N$14-$N$13)*($N$16-$N$15),IF(ISNUMBER($N$15),$N$15,"")),"")</f>
        <v>66.7</v>
      </c>
    </row>
    <row r="18" spans="2:14" ht="15" customHeight="1" x14ac:dyDescent="0.25">
      <c r="M18" s="2" t="s">
        <v>110</v>
      </c>
      <c r="N18" s="31">
        <f ca="1">IFERROR($N$17*10,"")</f>
        <v>667</v>
      </c>
    </row>
    <row r="19" spans="2:14" ht="21.75" customHeight="1" x14ac:dyDescent="0.25">
      <c r="B19" s="138" t="s">
        <v>111</v>
      </c>
      <c r="C19" s="138"/>
      <c r="D19" s="138"/>
      <c r="E19" s="138"/>
      <c r="F19" s="138"/>
      <c r="G19" s="138"/>
      <c r="H19" s="138"/>
      <c r="I19" s="138"/>
      <c r="J19" s="138"/>
    </row>
    <row r="20" spans="2:14" ht="45" customHeight="1" x14ac:dyDescent="0.25">
      <c r="B20" s="130" t="s">
        <v>541</v>
      </c>
      <c r="C20" s="130"/>
      <c r="D20" s="130"/>
      <c r="E20" s="130"/>
      <c r="F20" s="130"/>
      <c r="G20" s="130"/>
      <c r="H20" s="130"/>
      <c r="I20" s="130"/>
      <c r="J20" s="130"/>
      <c r="M20" s="2" t="s">
        <v>112</v>
      </c>
      <c r="N20" s="32">
        <f>'4. Korrektionsfaktorer'!$E$7*($N$7-35)</f>
        <v>-0.05</v>
      </c>
    </row>
    <row r="21" spans="2:14" ht="15" customHeight="1" x14ac:dyDescent="0.25">
      <c r="B21" s="23" t="s">
        <v>86</v>
      </c>
      <c r="C21" s="149" t="s">
        <v>113</v>
      </c>
      <c r="D21" s="149"/>
      <c r="E21" s="134" t="s">
        <v>114</v>
      </c>
      <c r="F21" s="134"/>
      <c r="G21" s="134"/>
      <c r="H21" s="134"/>
      <c r="I21" s="134"/>
      <c r="J21" s="134"/>
      <c r="M21" s="2" t="s">
        <v>115</v>
      </c>
      <c r="N21" s="32">
        <f>$C$39</f>
        <v>-0.1</v>
      </c>
    </row>
    <row r="22" spans="2:14" ht="15" customHeight="1" x14ac:dyDescent="0.25">
      <c r="B22" s="33" t="s">
        <v>116</v>
      </c>
      <c r="C22" s="33" t="s">
        <v>117</v>
      </c>
      <c r="D22" s="33" t="s">
        <v>118</v>
      </c>
      <c r="E22" s="33" t="s">
        <v>119</v>
      </c>
      <c r="F22" s="33" t="s">
        <v>120</v>
      </c>
      <c r="M22" s="2" t="s">
        <v>121</v>
      </c>
      <c r="N22" s="34">
        <f>1+$N$20+$N$21</f>
        <v>0.85</v>
      </c>
    </row>
    <row r="23" spans="2:14" ht="15" customHeight="1" x14ac:dyDescent="0.25">
      <c r="B23" s="92" t="s">
        <v>308</v>
      </c>
      <c r="C23" s="36">
        <v>1</v>
      </c>
      <c r="D23" s="37">
        <v>300</v>
      </c>
      <c r="E23" s="38">
        <f>IFERROR(VLOOKUP(B23,'5. DB Materialer'!$B$6:$F$18,2,FALSE()),"")</f>
        <v>40</v>
      </c>
      <c r="F23" s="39" t="str">
        <f>IFERROR(VLOOKUP(B23,'5. DB Materialer'!$B$6:$F$18,4,FALSE()),"")</f>
        <v>Bærelag</v>
      </c>
      <c r="M23" s="2" t="s">
        <v>123</v>
      </c>
      <c r="N23" s="31">
        <f ca="1">IFERROR($N$18*$N$22,"")</f>
        <v>566.94999999999993</v>
      </c>
    </row>
    <row r="24" spans="2:14" ht="15" customHeight="1" x14ac:dyDescent="0.25">
      <c r="B24" s="35" t="s">
        <v>124</v>
      </c>
      <c r="C24" s="36"/>
      <c r="D24" s="37">
        <v>300</v>
      </c>
      <c r="E24" s="38">
        <f>IFERROR(VLOOKUP(B24,'5. DB Materialer'!$B$6:$F$18,2,FALSE()),"")</f>
        <v>35</v>
      </c>
      <c r="F24" s="39" t="str">
        <f>IFERROR(VLOOKUP(B24,'5. DB Materialer'!$B$6:$F$18,4,FALSE()),"")</f>
        <v>Bundsikring</v>
      </c>
      <c r="M24" s="2"/>
      <c r="N24" s="31"/>
    </row>
    <row r="25" spans="2:14" ht="15" customHeight="1" x14ac:dyDescent="0.25">
      <c r="B25" s="35"/>
      <c r="C25" s="36"/>
      <c r="D25" s="37"/>
      <c r="E25" s="38" t="str">
        <f>IFERROR(VLOOKUP(B25,'5. DB Materialer'!$B$6:$F$18,2,FALSE()),"")</f>
        <v/>
      </c>
      <c r="F25" s="39" t="str">
        <f>IFERROR(VLOOKUP(B25,'5. DB Materialer'!$B$6:$F$18,4,FALSE()),"")</f>
        <v/>
      </c>
    </row>
    <row r="26" spans="2:14" ht="15" customHeight="1" x14ac:dyDescent="0.25">
      <c r="B26" s="23" t="s">
        <v>125</v>
      </c>
      <c r="C26" s="40">
        <f>SUM(C23:C25)</f>
        <v>1</v>
      </c>
      <c r="D26" s="41">
        <f>SUM(D23:D25)</f>
        <v>600</v>
      </c>
      <c r="E26" s="152" t="str">
        <f>IF($C$21="Procent",IF(ABS($C$26-1)&gt;0.001,"⚠ Sum skal være 100% i Procent-mode",""),IF($D$26=0,"⚠ Indtast lagtykkelser i mm","Total opbygning: "&amp;TEXT($D$26,"0")&amp;" mm"))</f>
        <v>Total opbygning: 600 mm</v>
      </c>
      <c r="F26" s="152"/>
      <c r="G26" s="152"/>
      <c r="H26" s="152"/>
      <c r="I26" s="152"/>
      <c r="J26" s="152"/>
      <c r="M26" s="2" t="s">
        <v>126</v>
      </c>
      <c r="N26" s="30">
        <f ca="1">IFERROR(IF(ISNUMBER(INDEX('7. Opslagstabeller'!$B$10:$T$27,$N$12,$N$11)),INDEX('7. Opslagstabeller'!$B$10:$T$27,$N$12,$N$11),""),"")</f>
        <v>110</v>
      </c>
    </row>
    <row r="27" spans="2:14" ht="21.75" customHeight="1" x14ac:dyDescent="0.25">
      <c r="B27" s="23" t="s">
        <v>127</v>
      </c>
      <c r="C27" s="146" t="str">
        <f>IF($C$21="Procent","",IF(AND(F23="Bundsikring",F24="Bærelag"),"⚠ Lag 1 er bundsikring og lag 2 er bærelag — har du byttet rækkefølgen? Bærelag skal stå øverst.",IF(AND(F24="Bundsikring",F25="Bærelag"),"⚠ Lag 2 er bundsikring og lag 3 er bærelag — har du byttet rækkefølgen?","")))</f>
        <v/>
      </c>
      <c r="D27" s="146"/>
      <c r="E27" s="146"/>
      <c r="F27" s="146"/>
      <c r="G27" s="146"/>
      <c r="H27" s="146"/>
      <c r="I27" s="146"/>
      <c r="J27" s="146"/>
      <c r="M27" s="2" t="s">
        <v>128</v>
      </c>
      <c r="N27" s="30">
        <f ca="1">IFERROR(IF(ISNUMBER(INDEX('7. Opslagstabeller'!$B$10:$T$27,$N$12+1,$N$11)),INDEX('7. Opslagstabeller'!$B$10:$T$27,$N$12+1,$N$11),""),"")</f>
        <v>100</v>
      </c>
    </row>
    <row r="28" spans="2:14" ht="15" customHeight="1" x14ac:dyDescent="0.25">
      <c r="B28" s="23" t="s">
        <v>129</v>
      </c>
      <c r="C28" s="38">
        <f>IFERROR(IF($C$21="Procent",IF($C$26=0,"",SUMPRODUCT($C$23:$C$25,$E$23:$E$25)/$C$26),IF($D$26=0,"",SUMPRODUCT($D$23:$D$25,$E$23:$E$25)/$D$26)),"")</f>
        <v>37.5</v>
      </c>
      <c r="M28" s="2" t="s">
        <v>130</v>
      </c>
      <c r="N28" s="31">
        <f ca="1">IFERROR(IF(AND(ISNUMBER($N$26),ISNUMBER($N$27),ISNUMBER($N$14),$N$14&lt;&gt;$N$13),($N$26+($N$5-$N$13)/($N$14-$N$13)*($N$27-$N$26))*10,IF(ISNUMBER($N$26),$N$26*10,"")),"")</f>
        <v>1100</v>
      </c>
    </row>
    <row r="29" spans="2:14" ht="15" customHeight="1" x14ac:dyDescent="0.25">
      <c r="B29" s="23" t="s">
        <v>131</v>
      </c>
      <c r="C29" s="42"/>
      <c r="D29" s="134" t="s">
        <v>132</v>
      </c>
      <c r="E29" s="134"/>
      <c r="F29" s="134"/>
      <c r="G29" s="134"/>
      <c r="H29" s="134"/>
      <c r="I29" s="134"/>
      <c r="J29" s="134"/>
    </row>
    <row r="30" spans="2:14" ht="16.5" customHeight="1" x14ac:dyDescent="0.25">
      <c r="B30" s="23" t="s">
        <v>133</v>
      </c>
      <c r="C30" s="43">
        <f>IF(ISBLANK($C$29),$C$28,$C$29)</f>
        <v>37.5</v>
      </c>
    </row>
    <row r="31" spans="2:14" ht="15" customHeight="1" x14ac:dyDescent="0.25">
      <c r="B31" s="23" t="s">
        <v>134</v>
      </c>
      <c r="C31" s="44">
        <f>N20</f>
        <v>-0.05</v>
      </c>
    </row>
    <row r="32" spans="2:14" ht="33.75" customHeight="1" x14ac:dyDescent="0.25">
      <c r="B32" s="130" t="s">
        <v>135</v>
      </c>
      <c r="C32" s="130"/>
      <c r="D32" s="130"/>
      <c r="E32" s="130"/>
      <c r="F32" s="130"/>
      <c r="G32" s="130"/>
      <c r="H32" s="130"/>
      <c r="I32" s="130"/>
      <c r="J32" s="130"/>
    </row>
    <row r="33" spans="2:14" ht="15" customHeight="1" x14ac:dyDescent="0.25">
      <c r="M33" s="2" t="s">
        <v>136</v>
      </c>
    </row>
    <row r="34" spans="2:14" ht="21.75" customHeight="1" x14ac:dyDescent="0.25">
      <c r="B34" s="138" t="s">
        <v>137</v>
      </c>
      <c r="C34" s="138"/>
      <c r="D34" s="138"/>
      <c r="E34" s="138"/>
      <c r="F34" s="138"/>
      <c r="G34" s="138"/>
      <c r="H34" s="138"/>
      <c r="I34" s="138"/>
      <c r="J34" s="138"/>
      <c r="M34" s="2" t="s">
        <v>138</v>
      </c>
      <c r="N34" s="31">
        <f>SUMIF(F23:F25,"Bærelag",D23:D25)</f>
        <v>300</v>
      </c>
    </row>
    <row r="35" spans="2:14" ht="30" customHeight="1" x14ac:dyDescent="0.25">
      <c r="B35" s="130" t="s">
        <v>139</v>
      </c>
      <c r="C35" s="130"/>
      <c r="D35" s="130"/>
      <c r="E35" s="130"/>
      <c r="F35" s="130"/>
      <c r="G35" s="130"/>
      <c r="H35" s="130"/>
      <c r="I35" s="130"/>
      <c r="J35" s="130"/>
      <c r="M35" s="2" t="s">
        <v>140</v>
      </c>
      <c r="N35" s="31">
        <f>SUMIF(F23:F25,"Bundsikring",D23:D25)</f>
        <v>300</v>
      </c>
    </row>
    <row r="36" spans="2:14" ht="16.5" customHeight="1" x14ac:dyDescent="0.25">
      <c r="B36" s="23" t="s">
        <v>141</v>
      </c>
      <c r="C36" s="154" t="s">
        <v>295</v>
      </c>
      <c r="D36" s="155"/>
      <c r="E36" s="156" t="str">
        <f t="array" ref="E36">_xlfn.LET(
  _xlpm.eo, $C$17,
  _xlpm.net, $C$36,
  _xlpm.klasse, _xlfn.IFS(
    _xlpm.eo="", 0,
    _xlpm.eo&lt;=30, 1,
    _xlpm.eo&lt;=45, 2,
    _xlpm.eo&lt;=60, 3,
    _xlpm.eo&lt;=80, 4,
    _xlpm.eo&lt;=120, 5,
    _xlpm.eo&lt;=150, 6,
    TRUE(), 0
  ),
  _xlpm.ertensar, ISNUMBER(SEARCH("Tensar", _xlpm.net)),
  _xlpm.ergsgrid, OR(ISNUMBER(SEARCH("GS-GRID", _xlpm.net)), ISNUMBER(SEARCH("E'GRID", _xlpm.net))),
  _xlpm.oktensar,
    _xlfn.IFS(
      _xlpm.net="Tensar TriAx TX150", AND(_xlpm.klasse&gt;=1, _xlpm.klasse&lt;=4),
      _xlpm.net="Tensar TriAx TX160", AND(_xlpm.klasse&gt;=3, _xlpm.klasse&lt;=6),
      _xlpm.net="Tensar InterAx NX750", AND(_xlpm.klasse&gt;=5, _xlpm.klasse&lt;=6),
      _xlpm.net="Tensar InterAx NX850", AND(_xlpm.klasse&gt;=5, _xlpm.klasse&lt;=6),
      _xlpm.net="Tensar HX5.5",       AND(_xlpm.klasse&gt;=1, _xlpm.klasse&lt;=5),
      _xlpm.net="Tensar SS30",        AND(_xlpm.klasse&gt;=3, _xlpm.klasse&lt;=5),
      _xlpm.net="Tensar HX165",       AND(_xlpm.klasse&gt;=4, _xlpm.klasse&lt;=6),
      TRUE(), FALSE()
    ),
  _xlpm.okgsgrid,
    _xlfn.IFS(
      OR(_xlpm.net="GS-GRID B20/20", _xlpm.net="GS-GRID B20/20L"), AND(_xlpm.klasse&gt;=1, _xlpm.klasse&lt;=3),
      OR(_xlpm.net="GS-GRID B30/30", _xlpm.net="GS-GRID B30/30L"), AND(_xlpm.klasse&gt;=3, _xlpm.klasse&lt;=5),
      OR(_xlpm.net="GS-GRID SX160", _xlpm.net="E'GRID T6"), AND(_xlpm.klasse&gt;=3, _xlpm.klasse&lt;=6),
      OR(_xlpm.net="GS-GRID B30/30XL", _xlpm.net="GS-GRID B40/40", _xlpm.net="GS-GRID B40/40L"), AND(_xlpm.klasse&gt;=4, _xlpm.klasse&lt;=6),
      OR(_xlpm.net="GS-GRID SX170", _xlpm.net="E'GRID T7"), AND(_xlpm.klasse&gt;=4, _xlpm.klasse&lt;=6),
      _xlpm.net="E'GRID T9L", AND(_xlpm.klasse&gt;=4, _xlpm.klasse&lt;=6),
      TRUE(), FALSE()
    ),
  _xlpm.tilladteklasser,
    _xlfn.IFS(
      _xlpm.net="Tensar TriAx TX150", "1, 2, 3 og 4",
      _xlpm.net="Tensar TriAx TX160", "3, 4, 5 og 6",
      _xlpm.net="Tensar InterAx NX750", "5 og 6",
      _xlpm.net="Tensar InterAx NX850", "5 og 6",
      _xlpm.net="Tensar HX5.5", "1, 2, 3, 4 og 5",
      _xlpm.net="Tensar SS30", "3, 4 og 5",
      _xlpm.net="Tensar HX165", "4, 5 og 6",
      OR(_xlpm.net="GS-GRID B20/20", _xlpm.net="GS-GRID B20/20L"), "1, 2 og 3",
      OR(_xlpm.net="GS-GRID B30/30", _xlpm.net="GS-GRID B30/30L"), "3, 4 og 5",
      OR(_xlpm.net="GS-GRID SX160", _xlpm.net="E'GRID T6"), "3, 4, 5 og 6",
      OR(_xlpm.net="GS-GRID B30/30XL", _xlpm.net="GS-GRID B40/40", _xlpm.net="GS-GRID B40/40L"), "4, 5 og 6",
      OR(_xlpm.net="GS-GRID SX170", _xlpm.net="E'GRID T7"), "4, 5 og 6",
      _xlpm.net="E'GRID T9L", "4, 5 og 6",
      TRUE(), "ukendt"
    ),
  IF(_xlpm.klasse=0,
    "⚠ Kan ikke bestemme belastningsklasse ud fra E0="&amp;_xlpm.eo&amp;" (forventer 0–150 MPa).",
    IF(OR(_xlpm.net="", ISBLANK(_xlpm.net)),
      "Vælg et geonet i C34 for at få tjek mod designmanualens anbefalinger.",
      IF(_xlpm.ertensar,
        IF(_xlpm.oktensar,
          "✓ Det valgte geonet kan anvendes indenfor belastningsklasse "&amp;_xlpm.tilladteklasser,
          "⚠ Det valgte geonet anbefales kun anvendt i belastningsklasse "&amp;_xlpm.tilladteklasser
        ),
        IF(_xlpm.ergsgrid,
          IF(_xlpm.okgsgrid,
            "✓ Det valgte geonet kan anvendes indenfor belastningsklasse "&amp;_xlpm.tilladteklasser,
            "⚠ Det valgte geonet anbefales kun anvendt i belastningsklasse "&amp;_xlpm.tilladteklasser
          ),
          "⚠ Geonet kan ikke matches til Tensar eller GS-GRID/E'GRID. Tjek produktnavn i C34."
        )
      )
    )
  )
)</f>
        <v>✓ Det valgte geonet kan anvendes indenfor belastningsklasse 4, 5 og 6</v>
      </c>
      <c r="F36" s="156"/>
      <c r="G36" s="156"/>
      <c r="H36" s="156"/>
      <c r="I36" s="156"/>
      <c r="J36" s="156"/>
      <c r="M36" s="2" t="s">
        <v>143</v>
      </c>
      <c r="N36" s="31">
        <f>IFERROR($D$26,0)</f>
        <v>600</v>
      </c>
    </row>
    <row r="37" spans="2:14" ht="15" customHeight="1" x14ac:dyDescent="0.25">
      <c r="B37" s="23" t="s">
        <v>144</v>
      </c>
      <c r="C37" s="45">
        <f>IFERROR(VLOOKUP($C$36,'6. DB Geonet'!$B$6:$J$25,4,FALSE()),0)</f>
        <v>-0.1</v>
      </c>
      <c r="E37" s="46"/>
      <c r="F37" s="46"/>
      <c r="G37" s="46"/>
      <c r="H37" s="46"/>
      <c r="I37" s="46"/>
      <c r="J37" s="46"/>
      <c r="M37" s="2" t="s">
        <v>145</v>
      </c>
      <c r="N37" s="31">
        <f ca="1">IFERROR(MAX(0,$N$36-$C$47),0)</f>
        <v>33.050000000000068</v>
      </c>
    </row>
    <row r="38" spans="2:14" ht="15" customHeight="1" x14ac:dyDescent="0.25">
      <c r="B38" s="23" t="s">
        <v>146</v>
      </c>
      <c r="C38" s="47"/>
      <c r="D38" s="134" t="s">
        <v>147</v>
      </c>
      <c r="E38" s="134"/>
      <c r="F38" s="134"/>
      <c r="G38" s="134"/>
      <c r="H38" s="134"/>
      <c r="I38" s="134"/>
      <c r="J38" s="134"/>
    </row>
    <row r="39" spans="2:14" ht="15.75" customHeight="1" x14ac:dyDescent="0.25">
      <c r="B39" s="23" t="s">
        <v>148</v>
      </c>
      <c r="C39" s="48">
        <f>IF(ISBLANK($C$38),$C$37,$C$38)</f>
        <v>-0.1</v>
      </c>
      <c r="M39" s="2"/>
    </row>
    <row r="40" spans="2:14" ht="15" customHeight="1" x14ac:dyDescent="0.25">
      <c r="M40" s="2"/>
      <c r="N40" s="31"/>
    </row>
    <row r="41" spans="2:14" ht="21.75" customHeight="1" x14ac:dyDescent="0.25">
      <c r="B41" s="138" t="s">
        <v>149</v>
      </c>
      <c r="C41" s="138"/>
      <c r="D41" s="138"/>
      <c r="E41" s="138"/>
      <c r="F41" s="138"/>
      <c r="G41" s="138"/>
      <c r="H41" s="138"/>
      <c r="I41" s="138"/>
      <c r="J41" s="138"/>
      <c r="M41" s="2"/>
      <c r="N41" s="26"/>
    </row>
    <row r="42" spans="2:14" ht="15" customHeight="1" x14ac:dyDescent="0.25">
      <c r="B42" s="134" t="s">
        <v>150</v>
      </c>
      <c r="C42" s="134"/>
      <c r="D42" s="134"/>
      <c r="E42" s="134"/>
      <c r="F42" s="134"/>
      <c r="G42" s="134"/>
      <c r="H42" s="134"/>
      <c r="I42" s="134"/>
      <c r="J42" s="134"/>
      <c r="M42" s="2"/>
      <c r="N42" s="26"/>
    </row>
    <row r="43" spans="2:14" ht="15" customHeight="1" x14ac:dyDescent="0.25">
      <c r="B43" s="23" t="s">
        <v>151</v>
      </c>
      <c r="C43" s="1" t="s">
        <v>498</v>
      </c>
      <c r="M43" s="2"/>
      <c r="N43" s="26"/>
    </row>
    <row r="44" spans="2:14" ht="15" customHeight="1" x14ac:dyDescent="0.25">
      <c r="M44" s="2"/>
      <c r="N44" s="26"/>
    </row>
    <row r="45" spans="2:14" ht="21.75" customHeight="1" x14ac:dyDescent="0.25">
      <c r="B45" s="138" t="s">
        <v>153</v>
      </c>
      <c r="C45" s="138"/>
      <c r="D45" s="138"/>
      <c r="E45" s="138"/>
      <c r="F45" s="138"/>
      <c r="G45" s="138"/>
      <c r="H45" s="138"/>
      <c r="I45" s="138"/>
      <c r="J45" s="138"/>
    </row>
    <row r="46" spans="2:14" ht="15.75" customHeight="1" x14ac:dyDescent="0.25">
      <c r="B46" s="23" t="s">
        <v>154</v>
      </c>
      <c r="C46" s="49">
        <f ca="1">$N$28</f>
        <v>1100</v>
      </c>
      <c r="D46" s="134" t="s">
        <v>155</v>
      </c>
      <c r="E46" s="134"/>
      <c r="F46" s="134"/>
      <c r="G46" s="134"/>
      <c r="H46" s="134"/>
      <c r="I46" s="134"/>
      <c r="J46" s="134"/>
    </row>
    <row r="47" spans="2:14" ht="15.75" customHeight="1" x14ac:dyDescent="0.25">
      <c r="B47" s="23" t="s">
        <v>156</v>
      </c>
      <c r="C47" s="50">
        <f ca="1">$N$23</f>
        <v>566.94999999999993</v>
      </c>
      <c r="D47" s="134" t="s">
        <v>157</v>
      </c>
      <c r="E47" s="134"/>
      <c r="F47" s="134"/>
      <c r="G47" s="134"/>
      <c r="H47" s="134"/>
      <c r="I47" s="134"/>
      <c r="J47" s="134"/>
    </row>
    <row r="48" spans="2:14" ht="25.5" customHeight="1" x14ac:dyDescent="0.25">
      <c r="B48" s="23"/>
      <c r="C48" s="51"/>
      <c r="D48" s="23"/>
    </row>
    <row r="49" spans="2:10" ht="15" customHeight="1" x14ac:dyDescent="0.25">
      <c r="B49" s="23" t="s">
        <v>158</v>
      </c>
      <c r="C49" s="41">
        <f ca="1">IFERROR($C$46-$C$47,"")</f>
        <v>533.05000000000007</v>
      </c>
      <c r="D49" s="40">
        <f ca="1">IFERROR(($C$46-$C$47)/$C$46,"")</f>
        <v>0.48459090909090913</v>
      </c>
      <c r="F49" s="134" t="s">
        <v>159</v>
      </c>
      <c r="G49" s="134"/>
      <c r="H49" s="134"/>
      <c r="I49" s="134"/>
      <c r="J49" s="134"/>
    </row>
    <row r="51" spans="2:10" ht="15" customHeight="1" x14ac:dyDescent="0.25">
      <c r="B51" s="153" t="str">
        <f>IF($C$21="Lagtykkelser","━━━ Sammenligning med din planlagte opbygning ━━━","")</f>
        <v>━━━ Sammenligning med din planlagte opbygning ━━━</v>
      </c>
      <c r="C51" s="153"/>
      <c r="D51" s="153"/>
      <c r="E51" s="153"/>
      <c r="F51" s="153"/>
      <c r="G51" s="153"/>
      <c r="H51" s="153"/>
      <c r="I51" s="153"/>
      <c r="J51" s="153"/>
    </row>
    <row r="52" spans="2:10" ht="15.75" customHeight="1" x14ac:dyDescent="0.25">
      <c r="B52" s="23" t="s">
        <v>160</v>
      </c>
      <c r="C52" s="49">
        <f>IF($C$21="Lagtykkelser",$D$26,"")</f>
        <v>600</v>
      </c>
      <c r="D52" s="134" t="str">
        <f>IF($C$21="Lagtykkelser","(sum af lagtykkelser fra Sektion C)","")</f>
        <v>(sum af lagtykkelser fra Sektion C)</v>
      </c>
      <c r="E52" s="134"/>
      <c r="F52" s="134"/>
      <c r="G52" s="134"/>
      <c r="H52" s="134"/>
      <c r="I52" s="134"/>
      <c r="J52" s="134"/>
    </row>
    <row r="53" spans="2:10" ht="30" customHeight="1" x14ac:dyDescent="0.25">
      <c r="B53" s="23" t="s">
        <v>161</v>
      </c>
      <c r="C53" s="52">
        <f ca="1">IF($C$21="Lagtykkelser",IFERROR($C$52-$C$46,""),"")</f>
        <v>-500</v>
      </c>
      <c r="D53" s="141" t="str">
        <f ca="1">IF($C$21&lt;&gt;"Lagtykkelser","",IFERROR(IF($C$52&gt;=$C$46,"✓ Planlagt opbygning har TILSTRÆKKELIG tykkelse uden armering ("&amp;TEXT($C$52-$C$46,"+0;-0")&amp;" mm i forhold til krav på "&amp;TEXT($C$46,"0")&amp;" mm)","⚠ Planlagt opbygning har UTILSTRÆKKELIG tykkelse uden armering ("&amp;TEXT($C$52-$C$46,"+0;-0")&amp;" mm i forhold til krav på "&amp;TEXT($C$46,"0")&amp;" mm)"),""))</f>
        <v>⚠ Planlagt opbygning har UTILSTRÆKKELIG tykkelse uden armering (-500 mm i forhold til krav på 1100 mm)</v>
      </c>
      <c r="E53" s="141"/>
      <c r="F53" s="141"/>
      <c r="G53" s="141"/>
      <c r="H53" s="141"/>
      <c r="I53" s="141"/>
      <c r="J53" s="141"/>
    </row>
    <row r="54" spans="2:10" ht="30" customHeight="1" x14ac:dyDescent="0.25">
      <c r="B54" s="23" t="s">
        <v>162</v>
      </c>
      <c r="C54" s="52">
        <f ca="1">IF($C$21="Lagtykkelser",IFERROR($C$52-$C$47,""),"")</f>
        <v>33.050000000000068</v>
      </c>
      <c r="D54" s="141" t="str">
        <f ca="1">IF($C$21&lt;&gt;"Lagtykkelser","",IFERROR(IF($C$52&gt;=$C$47,"✓ Planlagt opbygning har TILSTRÆKKELIG tykkelse med armering ("&amp;TEXT($C$52-$C$47,"+0;-0")&amp;" mm i forhold til krav på "&amp;TEXT($C$47,"0")&amp;" mm)","❌ Planlagt opbygning har UTILSTRÆKKELIG tykkelse selv med armering ("&amp;TEXT($C$52-$C$47,"+0;-0")&amp;" mm i forhold til krav på "&amp;TEXT($C$47,"0")&amp;" mm) — forøg lagtykkelserne"),""))</f>
        <v>✓ Planlagt opbygning har TILSTRÆKKELIG tykkelse med armering (+33 mm i forhold til krav på 567 mm)</v>
      </c>
      <c r="E54" s="141"/>
      <c r="F54" s="141"/>
      <c r="G54" s="141"/>
      <c r="H54" s="141"/>
      <c r="I54" s="141"/>
      <c r="J54" s="141"/>
    </row>
    <row r="55" spans="2:10" ht="15.75" customHeight="1" x14ac:dyDescent="0.25">
      <c r="B55" s="23" t="s">
        <v>163</v>
      </c>
      <c r="C55" s="53">
        <f ca="1">IF($C$21="Lagtykkelser",IFERROR(MAX(0,$C$52-$C$47),""),"")</f>
        <v>33.050000000000068</v>
      </c>
      <c r="D55" s="153" t="str">
        <f>IF($C$21="Lagtykkelser","← se Sektion H for reduktionsstrategi","")</f>
        <v>← se Sektion H for reduktionsstrategi</v>
      </c>
      <c r="E55" s="153"/>
      <c r="F55" s="153"/>
      <c r="G55" s="153"/>
      <c r="H55" s="153"/>
      <c r="I55" s="153"/>
      <c r="J55" s="153"/>
    </row>
    <row r="57" spans="2:10" ht="21.75" customHeight="1" x14ac:dyDescent="0.25">
      <c r="B57" s="138" t="s">
        <v>164</v>
      </c>
      <c r="C57" s="138"/>
      <c r="D57" s="138"/>
      <c r="E57" s="138"/>
      <c r="F57" s="138"/>
      <c r="G57" s="138"/>
      <c r="H57" s="138"/>
      <c r="I57" s="138"/>
      <c r="J57" s="138"/>
    </row>
    <row r="58" spans="2:10" ht="24" customHeight="1" x14ac:dyDescent="0.25">
      <c r="B58" s="23" t="s">
        <v>165</v>
      </c>
      <c r="C58" s="146" t="str">
        <f>IF(NOT(ISNUMBER($N$5)),"⚠ Indtast Eu eller Cv i Sektion A",IF($N$5&lt;3,"❌ FEJL: Eu &lt; 3 MPa er udenfor diagrammets gyldighedsområde (3-45 MPa). Kontakt Byggros.",IF($N$5&gt;45,"❌ FEJL: Eu &gt; 45 MPa er udenfor diagrammets gyldighedsområde (3-45 MPa). Kontakt Byggros.","")))</f>
        <v/>
      </c>
      <c r="D58" s="146"/>
      <c r="E58" s="146"/>
      <c r="F58" s="146"/>
      <c r="G58" s="146"/>
      <c r="H58" s="146"/>
      <c r="I58" s="146"/>
      <c r="J58" s="146"/>
    </row>
    <row r="59" spans="2:10" ht="24" customHeight="1" x14ac:dyDescent="0.25">
      <c r="B59" s="23" t="s">
        <v>166</v>
      </c>
      <c r="C59" s="146" t="str">
        <f>IF(NOT(ISNUMBER($N$6)),"⚠ Vælg belastningsklasse i Sektion B",IF($N$6&lt;30,"❌ FEJL: Eo &lt; 30 MPa er udenfor gyldighedsområde (30-150 MPa).",IF($N$6&gt;150,"❌ FEJL: Eo &gt; 150 MPa er udenfor gyldighedsområde (30-150 MPa).","")))</f>
        <v/>
      </c>
      <c r="D59" s="146"/>
      <c r="E59" s="146"/>
      <c r="F59" s="146"/>
      <c r="G59" s="146"/>
      <c r="H59" s="146"/>
      <c r="I59" s="146"/>
      <c r="J59" s="146"/>
    </row>
    <row r="60" spans="2:10" ht="24" customHeight="1" x14ac:dyDescent="0.25">
      <c r="B60" s="23" t="s">
        <v>167</v>
      </c>
      <c r="C60" s="146" t="str">
        <f>IF(NOT(ISNUMBER($N$7)),"",IF($N$7&lt;35,"⚠ φ &lt; 35° — værktøjet forudsætter friktionsmateriale med φ ≥ 35°. Resultat kan være for optimistisk.",IF($N$7&gt;50,"⚠ φ &gt; 50° — usædvanlig høj værdi, dobbelttjek materialevalget.","")))</f>
        <v/>
      </c>
      <c r="D60" s="146"/>
      <c r="E60" s="146"/>
      <c r="F60" s="146"/>
      <c r="G60" s="146"/>
      <c r="H60" s="146"/>
      <c r="I60" s="146"/>
      <c r="J60" s="146"/>
    </row>
    <row r="61" spans="2:10" ht="15" customHeight="1" x14ac:dyDescent="0.25">
      <c r="B61" s="23" t="s">
        <v>168</v>
      </c>
      <c r="C61" s="152" t="str">
        <f>IF(AND($C$26&gt;0,ABS($C$26-1)&gt;0.001),"⚠ Summen af materialeandele er ikke 100%. Justér i Sektion C.","")</f>
        <v/>
      </c>
      <c r="D61" s="152"/>
      <c r="E61" s="152"/>
      <c r="F61" s="152"/>
      <c r="G61" s="152"/>
      <c r="H61" s="152"/>
      <c r="I61" s="152"/>
      <c r="J61" s="152"/>
    </row>
    <row r="62" spans="2:10" ht="24" customHeight="1" x14ac:dyDescent="0.25">
      <c r="B62" s="23" t="s">
        <v>169</v>
      </c>
      <c r="C62" s="146" t="str">
        <f ca="1">IF(AND($N$8&lt;&gt;"Uarmeret",NOT(ISNUMBER($N$17))),"⚠ Den valgte lagopbygning er ikke understøttet for denne Eu/Eo-kombination. Prøv en anden konfiguration.","")</f>
        <v/>
      </c>
      <c r="D62" s="146"/>
      <c r="E62" s="146"/>
      <c r="F62" s="146"/>
      <c r="G62" s="146"/>
      <c r="H62" s="146"/>
      <c r="I62" s="146"/>
      <c r="J62" s="146"/>
    </row>
    <row r="63" spans="2:10" ht="24" customHeight="1" x14ac:dyDescent="0.25">
      <c r="B63" s="23" t="s">
        <v>170</v>
      </c>
      <c r="C63" s="146" t="str">
        <f>IFERROR(IF(AND(ISNUMBER(IFERROR(VLOOKUP($C$36,'6. DB Geonet'!$B$6:$J$25,6,FALSE()),"")),(MAX(IFERROR(VLOOKUP(B23,'5. DB Materialer'!$B$6:$F$18,3,FALSE()),0),IFERROR(VLOOKUP(B24,'5. DB Materialer'!$B$6:$F$18,3,FALSE()),0),IFERROR(VLOOKUP(B25,'5. DB Materialer'!$B$6:$F$18,3,FALSE()),0)))&gt;IFERROR(VLOOKUP($C$36,'6. DB Geonet'!$B$6:$J$25,6,FALSE()),"")),"⚠ Bærelagets max korn (" &amp; (MAX(IFERROR(VLOOKUP(B23,'5. DB Materialer'!$B$6:$F$18,3,FALSE()),0),IFERROR(VLOOKUP(B24,'5. DB Materialer'!$B$6:$F$18,3,FALSE()),0),IFERROR(VLOOKUP(B25,'5. DB Materialer'!$B$6:$F$18,3,FALSE()),0))) &amp; " mm) overstiger nettets anbefalede max korn (" &amp; IFERROR(VLOOKUP($C$36,'6. DB Geonet'!$B$6:$J$25,6,FALSE()),"") &amp; " mm). Overvej net med større maske.",""),"")</f>
        <v/>
      </c>
      <c r="D63" s="146"/>
      <c r="E63" s="146"/>
      <c r="F63" s="146"/>
      <c r="G63" s="146"/>
      <c r="H63" s="146"/>
      <c r="I63" s="146"/>
      <c r="J63" s="146"/>
    </row>
    <row r="64" spans="2:10" ht="24" customHeight="1" x14ac:dyDescent="0.25">
      <c r="B64" s="23" t="s">
        <v>171</v>
      </c>
      <c r="C64" s="146" t="str">
        <f ca="1">IFERROR(IF(AND(ISNUMBER($C$47),ISNUMBER(IFERROR(VLOOKUP($C$36,'6. DB Geonet'!$B$6:$J$25,7,FALSE()),"")),$C$47&lt;IFERROR(VLOOKUP($C$36,'6. DB Geonet'!$B$6:$J$25,7,FALSE()),"")*10),"⚠ Dimensioneret tykkelse er mindre end nettets minimum dæklag (" &amp; IFERROR(VLOOKUP($C$36,'6. DB Geonet'!$B$6:$J$25,7,FALSE()),"") &amp; " cm). Vælg et tyndere net eller flere lag.",""),"")</f>
        <v/>
      </c>
      <c r="D64" s="146"/>
      <c r="E64" s="146"/>
      <c r="F64" s="146"/>
      <c r="G64" s="146"/>
      <c r="H64" s="146"/>
      <c r="I64" s="146"/>
      <c r="J64" s="146"/>
    </row>
    <row r="65" spans="2:10" ht="24" customHeight="1" x14ac:dyDescent="0.25">
      <c r="B65" s="23" t="s">
        <v>172</v>
      </c>
      <c r="C65" s="151" t="str">
        <f ca="1">IF(AND(ISNUMBER($C$47),$N$8="1 lag",$C$47&gt;500),"💡 Total tykkelse &gt; 500 mm — overvej 2 lag for yderligere reduktion.",IF(AND(ISNUMBER($C$47),$N$8="2 lag/flere lag",$C$47&lt;400),"💡 Total tykkelse &lt; 400 mm — 1 lag er typisk tilstrækkeligt og mere økonomisk.",""))</f>
        <v/>
      </c>
      <c r="D65" s="151"/>
      <c r="E65" s="151"/>
      <c r="F65" s="151"/>
      <c r="G65" s="151"/>
      <c r="H65" s="151"/>
      <c r="I65" s="151"/>
      <c r="J65" s="151"/>
    </row>
    <row r="67" spans="2:10" ht="21.75" customHeight="1" x14ac:dyDescent="0.25">
      <c r="B67" s="138" t="s">
        <v>542</v>
      </c>
      <c r="C67" s="138"/>
      <c r="D67" s="138"/>
      <c r="E67" s="138"/>
      <c r="F67" s="138"/>
      <c r="G67" s="138"/>
      <c r="H67" s="138"/>
      <c r="I67" s="138"/>
      <c r="J67" s="138"/>
    </row>
    <row r="68" spans="2:10" ht="45" customHeight="1" x14ac:dyDescent="0.25">
      <c r="B68" s="130" t="s">
        <v>173</v>
      </c>
      <c r="C68" s="130"/>
      <c r="D68" s="130"/>
      <c r="E68" s="130"/>
      <c r="F68" s="130"/>
      <c r="G68" s="130"/>
      <c r="H68" s="130"/>
      <c r="I68" s="130"/>
      <c r="J68" s="130"/>
    </row>
    <row r="69" spans="2:10" ht="15" customHeight="1" x14ac:dyDescent="0.25">
      <c r="B69" s="148" t="str">
        <f>IF($C$21&lt;&gt;"Lagtykkelser","ⓘ Sektionen er ikke aktiv — skift indtastningsmetode til ""Lagtykkelser"" i Sektion C for at bruge den.","")</f>
        <v/>
      </c>
      <c r="C69" s="148"/>
      <c r="D69" s="148"/>
      <c r="E69" s="148"/>
      <c r="F69" s="148"/>
      <c r="G69" s="148"/>
      <c r="H69" s="148"/>
      <c r="I69" s="148"/>
      <c r="J69" s="148"/>
    </row>
    <row r="71" spans="2:10" ht="15" customHeight="1" x14ac:dyDescent="0.25">
      <c r="B71" s="23" t="s">
        <v>174</v>
      </c>
      <c r="C71" s="149" t="s">
        <v>547</v>
      </c>
      <c r="D71" s="149"/>
      <c r="E71" s="134" t="s">
        <v>175</v>
      </c>
      <c r="F71" s="134"/>
      <c r="G71" s="134"/>
      <c r="H71" s="134"/>
      <c r="I71" s="134"/>
      <c r="J71" s="134"/>
    </row>
    <row r="73" spans="2:10" ht="30" customHeight="1" x14ac:dyDescent="0.25">
      <c r="B73" s="33" t="s">
        <v>176</v>
      </c>
      <c r="C73" s="33" t="s">
        <v>116</v>
      </c>
      <c r="D73" s="33" t="s">
        <v>177</v>
      </c>
      <c r="E73" s="33" t="s">
        <v>178</v>
      </c>
      <c r="F73" s="33" t="s">
        <v>179</v>
      </c>
      <c r="G73" s="33" t="s">
        <v>180</v>
      </c>
      <c r="H73" s="33" t="s">
        <v>120</v>
      </c>
    </row>
    <row r="74" spans="2:10" ht="15.75" customHeight="1" x14ac:dyDescent="0.25">
      <c r="B74" s="13" t="s">
        <v>181</v>
      </c>
      <c r="C74" s="54" t="str">
        <f>IFERROR(B23,"")</f>
        <v>SG I 0-32</v>
      </c>
      <c r="D74" s="55">
        <f>IFERROR(D23,"")</f>
        <v>300</v>
      </c>
      <c r="E74" s="56">
        <f>IF($C$21&lt;&gt;"Lagtykkelser","",IF(OR(ISBLANK(B23),IFERROR(D23,0)=0),"",IF($C$71="Reducer bærelag",IF(F23="Bærelag",MAX(0,D23-$N$37*D23/MAX($N$34,1)),D23),IF($C$71="Reducer bundsikring",IF(F23="Bundsikring",MAX(0,D23-$N$37*D23/MAX($N$35,1)),D23),IF($C$71="Reducer alle proportionalt",D23*IFERROR($C$47/$N$36,1),D23)))))</f>
        <v>300</v>
      </c>
      <c r="F74" s="37"/>
      <c r="G74" s="53">
        <f>IF($C$21&lt;&gt;"Lagtykkelser","",IF(OR(ISBLANK(B23),IFERROR(D23,0)=0),"",IF(ISBLANK(F74),IF($C$71="Manuel justering",D23,E74),F74)))</f>
        <v>300</v>
      </c>
      <c r="H74" s="57" t="str">
        <f>IFERROR(F23,"")</f>
        <v>Bærelag</v>
      </c>
    </row>
    <row r="75" spans="2:10" ht="23.25" customHeight="1" x14ac:dyDescent="0.25">
      <c r="B75" s="13" t="s">
        <v>182</v>
      </c>
      <c r="C75" s="54" t="str">
        <f>IFERROR(B24,"")</f>
        <v>Bundsand</v>
      </c>
      <c r="D75" s="55">
        <f>IFERROR(D24,"")</f>
        <v>300</v>
      </c>
      <c r="E75" s="56">
        <f>IF($C$21&lt;&gt;"Lagtykkelser","",IF(OR(ISBLANK(B24),IFERROR(D24,0)=0),"",IF($C$71="Reducer bærelag",IF(F24="Bærelag",MAX(0,D24-$N$37*D24/MAX($N$34,1)),D24),IF($C$71="Reducer bundsikring",IF(F24="Bundsikring",MAX(0,D24-$N$37*D24/MAX($N$35,1)),D24),IF($C$71="Reducer alle proportionalt",D24*IFERROR($C$47/$N$36,1),D24)))))</f>
        <v>300</v>
      </c>
      <c r="F75" s="37"/>
      <c r="G75" s="53">
        <f>IF($C$21&lt;&gt;"Lagtykkelser","",IF(OR(ISBLANK(B24),IFERROR(D24,0)=0),"",IF(ISBLANK(F75),IF($C$71="Manuel justering",D24,E75),F75)))</f>
        <v>300</v>
      </c>
      <c r="H75" s="57" t="str">
        <f>IFERROR(F24,"")</f>
        <v>Bundsikring</v>
      </c>
    </row>
    <row r="76" spans="2:10" ht="15.75" customHeight="1" x14ac:dyDescent="0.25">
      <c r="B76" s="13" t="s">
        <v>183</v>
      </c>
      <c r="C76" s="54">
        <f>IFERROR(B25,"")</f>
        <v>0</v>
      </c>
      <c r="D76" s="55">
        <f>IFERROR(D25,"")</f>
        <v>0</v>
      </c>
      <c r="E76" s="56" t="str">
        <f>IF($C$21&lt;&gt;"Lagtykkelser","",IF(OR(ISBLANK(B25),IFERROR(D25,0)=0),"",IF($C$71="Reducer bærelag",IF(F25="Bærelag",MAX(0,D25-$N$37*D25/MAX($N$34,1)),D25),IF($C$71="Reducer bundsikring",IF(F25="Bundsikring",MAX(0,D25-$N$37*D25/MAX($N$35,1)),D25),IF($C$71="Reducer alle proportionalt",D25*IFERROR($C$47/$N$36,1),D25)))))</f>
        <v/>
      </c>
      <c r="F76" s="37"/>
      <c r="G76" s="53" t="str">
        <f>IF($C$21&lt;&gt;"Lagtykkelser","",IF(OR(ISBLANK(B25),IFERROR(D25,0)=0),"",IF(ISBLANK(F76),IF($C$71="Manuel justering",D25,E76),F76)))</f>
        <v/>
      </c>
      <c r="H76" s="57" t="str">
        <f>IFERROR(F25,"")</f>
        <v/>
      </c>
    </row>
    <row r="77" spans="2:10" ht="24" customHeight="1" x14ac:dyDescent="0.25">
      <c r="B77" s="150" t="s">
        <v>184</v>
      </c>
      <c r="C77" s="150"/>
      <c r="D77" s="56">
        <f>SUM(D74:D76)</f>
        <v>600</v>
      </c>
      <c r="E77" s="56">
        <f>IFERROR(SUM(E74:E76),"")</f>
        <v>600</v>
      </c>
      <c r="F77" s="58"/>
      <c r="G77" s="59">
        <f>IF($C$21&lt;&gt;"Lagtykkelser","",IFERROR(SUM(G74:G76),""))</f>
        <v>600</v>
      </c>
    </row>
    <row r="79" spans="2:10" ht="30" customHeight="1" x14ac:dyDescent="0.25">
      <c r="B79" s="23" t="s">
        <v>185</v>
      </c>
      <c r="C79" s="52">
        <f ca="1">IF($C$21&lt;&gt;"Lagtykkelser","",IFERROR($G$77-$C$47,""))</f>
        <v>33.050000000000068</v>
      </c>
      <c r="D79" s="141" t="str">
        <f ca="1">IF($C$21&lt;&gt;"Lagtykkelser","",IFERROR(IF($G$77&gt;=$C$47,"✓ Foreslået opbygning er tilstrækkelig","⚠ Foreslået opbygning er TYNDERE end krævet armeret ("&amp;TEXT($C$47,"0")&amp;" mm) — bæreevnen kan være utilstrækkelig"),""))</f>
        <v>✓ Foreslået opbygning er tilstrækkelig</v>
      </c>
      <c r="E79" s="141"/>
      <c r="F79" s="141"/>
      <c r="G79" s="141"/>
      <c r="H79" s="141"/>
      <c r="I79" s="141"/>
      <c r="J79" s="141"/>
    </row>
    <row r="80" spans="2:10" ht="15.75" customHeight="1" x14ac:dyDescent="0.25">
      <c r="B80" s="23" t="s">
        <v>186</v>
      </c>
      <c r="C80" s="53">
        <f>IF($C$21&lt;&gt;"Lagtykkelser","",IFERROR($N$36-$G$77,""))</f>
        <v>0</v>
      </c>
      <c r="D80" s="134" t="s">
        <v>187</v>
      </c>
      <c r="E80" s="134"/>
      <c r="F80" s="134"/>
      <c r="G80" s="134"/>
      <c r="H80" s="134"/>
      <c r="I80" s="134"/>
      <c r="J80" s="134"/>
    </row>
    <row r="82" spans="2:10" ht="36" customHeight="1" x14ac:dyDescent="0.25">
      <c r="B82" s="23" t="s">
        <v>188</v>
      </c>
      <c r="C82" s="141" t="str">
        <f>IF($C$21&lt;&gt;"Lagtykkelser","",IF($C$43="1 lag",IF(COUNTIF(F23:F25,"Bærelag")&gt;=1,"1 net placeres ved laggrænsen mellem nederste bærelag og bundsikring (eller i bunden af nederste bærelag)","1 net placeres ved bunden af bærelaget"),"2 net: ét ved laggrænsen mellem bærelag og bundsikring, og ét ved bunden mod råjordsplanum"))</f>
        <v>2 net: ét ved laggrænsen mellem bærelag og bundsikring, og ét ved bunden mod råjordsplanum</v>
      </c>
      <c r="D82" s="141"/>
      <c r="E82" s="141"/>
      <c r="F82" s="141"/>
      <c r="G82" s="141"/>
      <c r="H82" s="141"/>
      <c r="I82" s="141"/>
      <c r="J82" s="141"/>
    </row>
    <row r="84" spans="2:10" ht="15" customHeight="1" x14ac:dyDescent="0.25">
      <c r="B84" s="147" t="s">
        <v>189</v>
      </c>
      <c r="C84" s="147"/>
      <c r="D84" s="147"/>
      <c r="E84" s="147"/>
      <c r="F84" s="147"/>
      <c r="G84" s="147"/>
      <c r="H84" s="147"/>
      <c r="I84" s="147"/>
      <c r="J84" s="147"/>
    </row>
    <row r="85" spans="2:10" ht="36" customHeight="1" x14ac:dyDescent="0.25">
      <c r="B85" s="60" t="s">
        <v>190</v>
      </c>
      <c r="C85" s="146" t="str">
        <f>IF($C$21&lt;&gt;"Lagtykkelser","",IF(OR(AND(G74&lt;&gt;"",G74&gt;0,G74&lt;200),AND(G75&lt;&gt;"",G75&gt;0,G75&lt;200),AND(G76&lt;&gt;"",G76&gt;0,G76&lt;200)),"⚠ Et eller flere lag er under 200 mm — geonet kræver normalt min. 200 mm dæklag for at opnå armeringseffekt. Vurder om opbygningen er praktisk anvendelig.",""))</f>
        <v/>
      </c>
      <c r="D85" s="146"/>
      <c r="E85" s="146"/>
      <c r="F85" s="146"/>
      <c r="G85" s="146"/>
      <c r="H85" s="146"/>
      <c r="I85" s="146"/>
      <c r="J85" s="146"/>
    </row>
    <row r="86" spans="2:10" ht="48" customHeight="1" x14ac:dyDescent="0.25">
      <c r="B86" s="60" t="s">
        <v>191</v>
      </c>
      <c r="C86" s="146" t="str">
        <f ca="1">IF($C$21&lt;&gt;"Lagtykkelser","",IFERROR(IF($G$77&lt;$C$47,"⚠ Total foreslået opbygning ("&amp;TEXT($G$77,"0")&amp;" mm) er tyndere end den dimensionerende anbefaling ("&amp;TEXT($C$47,"0")&amp;" mm). Du kan have legitime grunde til at gå tyndere — men vær opmærksom på risiko for utilstrækkelig bæreevne.",""),""))</f>
        <v/>
      </c>
      <c r="D86" s="146"/>
      <c r="E86" s="146"/>
      <c r="F86" s="146"/>
      <c r="G86" s="146"/>
      <c r="H86" s="146"/>
      <c r="I86" s="146"/>
      <c r="J86" s="146"/>
    </row>
    <row r="87" spans="2:10" ht="36" customHeight="1" x14ac:dyDescent="0.25">
      <c r="B87" s="60" t="s">
        <v>192</v>
      </c>
      <c r="C87" s="146" t="str">
        <f>IF($C$21&lt;&gt;"Lagtykkelser","",IF(AND($C$71="Reducer bærelag",$N$34=0),"⚠ Du har valgt ""Reducer bærelag"" men der er ingen bærelag i din opbygning. Vælg en anden strategi.",IF(AND($C$71="Reducer bundsikring",$N$35=0),"⚠ Du har valgt ""Reducer bundsikring"" men der er ingen bundsikring i din opbygning. Vælg en anden strategi.","")))</f>
        <v/>
      </c>
      <c r="D87" s="146"/>
      <c r="E87" s="146"/>
      <c r="F87" s="146"/>
      <c r="G87" s="146"/>
      <c r="H87" s="146"/>
      <c r="I87" s="146"/>
      <c r="J87" s="146"/>
    </row>
    <row r="89" spans="2:10" ht="18.75" x14ac:dyDescent="0.25">
      <c r="B89" s="138" t="s">
        <v>552</v>
      </c>
      <c r="C89" s="138"/>
      <c r="D89" s="138"/>
      <c r="E89" s="138"/>
      <c r="F89" s="138"/>
      <c r="G89" s="138"/>
      <c r="H89" s="138"/>
      <c r="I89" s="138"/>
      <c r="J89" s="138"/>
    </row>
    <row r="90" spans="2:10" x14ac:dyDescent="0.25">
      <c r="B90" s="145" t="s">
        <v>509</v>
      </c>
      <c r="C90" s="145"/>
      <c r="D90" s="145"/>
      <c r="E90" s="145"/>
      <c r="F90" s="145"/>
      <c r="G90" s="145"/>
      <c r="H90" s="145"/>
      <c r="I90" s="145"/>
      <c r="J90" s="145"/>
    </row>
    <row r="92" spans="2:10" x14ac:dyDescent="0.25">
      <c r="B92" s="63" t="s">
        <v>194</v>
      </c>
      <c r="C92" s="63" t="str">
        <f>$C$36</f>
        <v>GS-GRID SX170</v>
      </c>
    </row>
    <row r="94" spans="2:10" x14ac:dyDescent="0.25">
      <c r="B94" s="144" t="s">
        <v>195</v>
      </c>
      <c r="C94" s="144"/>
      <c r="D94" s="144"/>
      <c r="E94" s="144"/>
      <c r="F94" s="144"/>
      <c r="G94" s="144"/>
      <c r="H94" s="144"/>
      <c r="I94" s="144"/>
      <c r="J94" s="144"/>
    </row>
    <row r="95" spans="2:10" x14ac:dyDescent="0.25">
      <c r="B95" s="63" t="s">
        <v>196</v>
      </c>
      <c r="C95" s="64" t="str">
        <f>IFERROR(VLOOKUP($C$36,'6. DB Geonet'!$B$6:$K$25,5,FALSE()),"Verificeres")</f>
        <v>pitch 80 mm</v>
      </c>
      <c r="D95" s="143" t="s">
        <v>197</v>
      </c>
      <c r="E95" s="143"/>
      <c r="F95" s="143"/>
      <c r="G95" s="143"/>
      <c r="H95" s="143"/>
      <c r="I95" s="143"/>
      <c r="J95" s="143"/>
    </row>
    <row r="96" spans="2:10" x14ac:dyDescent="0.25">
      <c r="B96" s="63" t="s">
        <v>198</v>
      </c>
      <c r="C96" s="64" t="str">
        <f>IFERROR(IF(ISNUMBER(VLOOKUP($C$36,'6. DB Geonet'!$B$6:$K$25,6,FALSE())),VLOOKUP($C$36,'6. DB Geonet'!$B$6:$K$25,6,FALSE())&amp;" mm",VLOOKUP($C$36,'6. DB Geonet'!$B$6:$K$25,6,FALSE())),"Verificeres")</f>
        <v>150 mm</v>
      </c>
      <c r="D96" s="143" t="s">
        <v>199</v>
      </c>
      <c r="E96" s="143"/>
      <c r="F96" s="143"/>
      <c r="G96" s="143"/>
      <c r="H96" s="143"/>
      <c r="I96" s="143"/>
      <c r="J96" s="143"/>
    </row>
    <row r="97" spans="2:10" x14ac:dyDescent="0.25">
      <c r="B97" s="63" t="s">
        <v>200</v>
      </c>
      <c r="C97" s="64" t="str">
        <f>IFERROR(IF(ISNUMBER(VLOOKUP($C$36,'6. DB Geonet'!$B$6:$K$25,10,FALSE())),VLOOKUP($C$36,'6. DB Geonet'!$B$6:$K$25,10,FALSE())&amp;" mm",VLOOKUP($C$36,'6. DB Geonet'!$B$6:$K$25,10,FALSE())),"Verificeres")</f>
        <v>Ej oplyst</v>
      </c>
      <c r="D97" s="143" t="s">
        <v>201</v>
      </c>
      <c r="E97" s="143"/>
      <c r="F97" s="143"/>
      <c r="G97" s="143"/>
      <c r="H97" s="143"/>
      <c r="I97" s="143"/>
      <c r="J97" s="143"/>
    </row>
    <row r="98" spans="2:10" x14ac:dyDescent="0.25">
      <c r="B98" s="63" t="s">
        <v>202</v>
      </c>
      <c r="C98" s="64" t="str">
        <f>IFERROR(IF(ISNUMBER(VLOOKUP($C$36,'6. DB Geonet'!$B$6:$K$25,7,FALSE())),VLOOKUP($C$36,'6. DB Geonet'!$B$6:$K$25,7,FALSE())&amp;" cm",VLOOKUP($C$36,'6. DB Geonet'!$B$6:$K$25,7,FALSE())),"Verificeres")</f>
        <v>20 cm</v>
      </c>
      <c r="D98" s="143" t="s">
        <v>203</v>
      </c>
      <c r="E98" s="143"/>
      <c r="F98" s="143"/>
      <c r="G98" s="143"/>
      <c r="H98" s="143"/>
      <c r="I98" s="143"/>
      <c r="J98" s="143"/>
    </row>
    <row r="99" spans="2:10" x14ac:dyDescent="0.25">
      <c r="B99" s="63" t="s">
        <v>204</v>
      </c>
      <c r="C99" s="64" t="s">
        <v>205</v>
      </c>
      <c r="D99" s="143" t="s">
        <v>206</v>
      </c>
      <c r="E99" s="143"/>
      <c r="F99" s="143"/>
      <c r="G99" s="143"/>
      <c r="H99" s="143"/>
      <c r="I99" s="143"/>
      <c r="J99" s="143"/>
    </row>
    <row r="101" spans="2:10" x14ac:dyDescent="0.25">
      <c r="B101" s="144" t="s">
        <v>207</v>
      </c>
      <c r="C101" s="144"/>
      <c r="D101" s="144"/>
      <c r="E101" s="144"/>
      <c r="F101" s="144"/>
      <c r="G101" s="144"/>
      <c r="H101" s="144"/>
      <c r="I101" s="144"/>
      <c r="J101" s="144"/>
    </row>
    <row r="102" spans="2:10" x14ac:dyDescent="0.25">
      <c r="B102" s="63" t="s">
        <v>208</v>
      </c>
      <c r="C102" s="64" t="str">
        <f>IF(NOT(ISNUMBER($C$11)),"n/a",IF($C$11&gt;=5,"min. 30 cm","min. 40 cm"))</f>
        <v>min. 30 cm</v>
      </c>
      <c r="D102" s="143" t="s">
        <v>209</v>
      </c>
      <c r="E102" s="143"/>
      <c r="F102" s="143"/>
      <c r="G102" s="143"/>
      <c r="H102" s="143"/>
      <c r="I102" s="143"/>
      <c r="J102" s="143"/>
    </row>
    <row r="103" spans="2:10" x14ac:dyDescent="0.25">
      <c r="B103" s="63" t="s">
        <v>210</v>
      </c>
      <c r="C103" s="64" t="str">
        <f>IF(OR($N$8="Uarmeret",$N$8="1 lag"),"n/a",IF(IFERROR(VLOOKUP($C$36,'6. DB Geonet'!$B$6:$K$25,2,FALSE()),"")="Tensar","20-40 cm","20-50 cm"))</f>
        <v>20-50 cm</v>
      </c>
      <c r="D103" s="143" t="s">
        <v>211</v>
      </c>
      <c r="E103" s="143"/>
      <c r="F103" s="143"/>
      <c r="G103" s="143"/>
      <c r="H103" s="143"/>
      <c r="I103" s="143"/>
      <c r="J103" s="143"/>
    </row>
    <row r="104" spans="2:10" x14ac:dyDescent="0.25">
      <c r="B104" s="63" t="s">
        <v>212</v>
      </c>
      <c r="C104" s="64" t="str">
        <f>IF(OR($N$8="Uarmeret",$N$8="1 lag"),"n/a","min. 20 cm under overflade af bærelag")</f>
        <v>min. 20 cm under overflade af bærelag</v>
      </c>
      <c r="D104" s="143" t="s">
        <v>213</v>
      </c>
      <c r="E104" s="143"/>
      <c r="F104" s="143"/>
      <c r="G104" s="143"/>
      <c r="H104" s="143"/>
      <c r="I104" s="143"/>
      <c r="J104" s="143"/>
    </row>
    <row r="105" spans="2:10" x14ac:dyDescent="0.25">
      <c r="B105" s="63" t="s">
        <v>214</v>
      </c>
      <c r="C105" s="64" t="s">
        <v>215</v>
      </c>
      <c r="D105" s="143" t="s">
        <v>216</v>
      </c>
      <c r="E105" s="143"/>
      <c r="F105" s="143"/>
      <c r="G105" s="143"/>
      <c r="H105" s="143"/>
      <c r="I105" s="143"/>
      <c r="J105" s="143"/>
    </row>
    <row r="106" spans="2:10" x14ac:dyDescent="0.25">
      <c r="B106" s="63" t="s">
        <v>217</v>
      </c>
      <c r="C106" s="64" t="s">
        <v>218</v>
      </c>
      <c r="D106" s="143" t="s">
        <v>219</v>
      </c>
      <c r="E106" s="143"/>
      <c r="F106" s="143"/>
      <c r="G106" s="143"/>
      <c r="H106" s="143"/>
      <c r="I106" s="143"/>
      <c r="J106" s="143"/>
    </row>
  </sheetData>
  <mergeCells count="71">
    <mergeCell ref="B1:J1"/>
    <mergeCell ref="B3:J3"/>
    <mergeCell ref="M3:N3"/>
    <mergeCell ref="B5:J5"/>
    <mergeCell ref="B6:J6"/>
    <mergeCell ref="D8:J8"/>
    <mergeCell ref="D9:J9"/>
    <mergeCell ref="B13:J13"/>
    <mergeCell ref="B14:J14"/>
    <mergeCell ref="C15:D15"/>
    <mergeCell ref="D16:J16"/>
    <mergeCell ref="B19:J19"/>
    <mergeCell ref="B20:J20"/>
    <mergeCell ref="C21:D21"/>
    <mergeCell ref="E21:J21"/>
    <mergeCell ref="E26:J26"/>
    <mergeCell ref="C27:J27"/>
    <mergeCell ref="D29:J29"/>
    <mergeCell ref="B32:J32"/>
    <mergeCell ref="B34:J34"/>
    <mergeCell ref="B35:J35"/>
    <mergeCell ref="C36:D36"/>
    <mergeCell ref="E36:J36"/>
    <mergeCell ref="D38:J38"/>
    <mergeCell ref="B41:J41"/>
    <mergeCell ref="B42:J42"/>
    <mergeCell ref="B45:J45"/>
    <mergeCell ref="D46:J46"/>
    <mergeCell ref="D47:J47"/>
    <mergeCell ref="F49:J49"/>
    <mergeCell ref="B51:J51"/>
    <mergeCell ref="D52:J52"/>
    <mergeCell ref="D53:J53"/>
    <mergeCell ref="D54:J54"/>
    <mergeCell ref="D55:J55"/>
    <mergeCell ref="B57:J57"/>
    <mergeCell ref="C58:J58"/>
    <mergeCell ref="C59:J59"/>
    <mergeCell ref="C60:J60"/>
    <mergeCell ref="C61:J61"/>
    <mergeCell ref="C62:J62"/>
    <mergeCell ref="C63:J63"/>
    <mergeCell ref="C64:J64"/>
    <mergeCell ref="C65:J65"/>
    <mergeCell ref="B67:J67"/>
    <mergeCell ref="B68:J68"/>
    <mergeCell ref="B69:J69"/>
    <mergeCell ref="C71:D71"/>
    <mergeCell ref="E71:J71"/>
    <mergeCell ref="B77:C77"/>
    <mergeCell ref="C86:J86"/>
    <mergeCell ref="C87:J87"/>
    <mergeCell ref="D79:J79"/>
    <mergeCell ref="D80:J80"/>
    <mergeCell ref="C82:J82"/>
    <mergeCell ref="B84:J84"/>
    <mergeCell ref="C85:J85"/>
    <mergeCell ref="B89:J89"/>
    <mergeCell ref="B90:J90"/>
    <mergeCell ref="B94:J94"/>
    <mergeCell ref="D95:J95"/>
    <mergeCell ref="D96:J96"/>
    <mergeCell ref="D103:J103"/>
    <mergeCell ref="D104:J104"/>
    <mergeCell ref="D105:J105"/>
    <mergeCell ref="D106:J106"/>
    <mergeCell ref="D97:J97"/>
    <mergeCell ref="D98:J98"/>
    <mergeCell ref="D99:J99"/>
    <mergeCell ref="B101:J101"/>
    <mergeCell ref="D102:J102"/>
  </mergeCells>
  <conditionalFormatting sqref="C53">
    <cfRule type="expression" dxfId="17" priority="8">
      <formula>AND(ISNUMBER($C$53),$C$53&gt;=0)</formula>
    </cfRule>
    <cfRule type="expression" dxfId="16" priority="9">
      <formula>AND(ISNUMBER($C$53),$C$53&lt;0)</formula>
    </cfRule>
  </conditionalFormatting>
  <conditionalFormatting sqref="C54">
    <cfRule type="expression" dxfId="15" priority="10">
      <formula>AND(ISNUMBER($C$54),$C$54&gt;=0)</formula>
    </cfRule>
    <cfRule type="expression" dxfId="14" priority="11">
      <formula>AND(ISNUMBER($C$54),$C$54&lt;0)</formula>
    </cfRule>
  </conditionalFormatting>
  <conditionalFormatting sqref="C79">
    <cfRule type="expression" dxfId="13" priority="18">
      <formula>AND(ISNUMBER($C$79),$C$79&gt;=0)</formula>
    </cfRule>
    <cfRule type="expression" dxfId="12" priority="19">
      <formula>AND(ISNUMBER($C$79),$C$79&lt;0)</formula>
    </cfRule>
  </conditionalFormatting>
  <conditionalFormatting sqref="F23">
    <cfRule type="expression" dxfId="11" priority="2">
      <formula>$F$23="Bærelag"</formula>
    </cfRule>
    <cfRule type="expression" dxfId="10" priority="3">
      <formula>$F$23="Bundsikring"</formula>
    </cfRule>
  </conditionalFormatting>
  <conditionalFormatting sqref="F24">
    <cfRule type="expression" dxfId="9" priority="4">
      <formula>$F$24="Bærelag"</formula>
    </cfRule>
    <cfRule type="expression" dxfId="8" priority="5">
      <formula>$F$24="Bundsikring"</formula>
    </cfRule>
  </conditionalFormatting>
  <conditionalFormatting sqref="F25">
    <cfRule type="expression" dxfId="7" priority="6">
      <formula>$F$25="Bærelag"</formula>
    </cfRule>
    <cfRule type="expression" dxfId="6" priority="7">
      <formula>$F$25="Bundsikring"</formula>
    </cfRule>
  </conditionalFormatting>
  <conditionalFormatting sqref="H74">
    <cfRule type="expression" dxfId="5" priority="12">
      <formula>$H$74="Bærelag"</formula>
    </cfRule>
    <cfRule type="expression" dxfId="4" priority="13">
      <formula>$H$74="Bundsikring"</formula>
    </cfRule>
  </conditionalFormatting>
  <conditionalFormatting sqref="H75">
    <cfRule type="expression" dxfId="3" priority="14">
      <formula>$H$75="Bærelag"</formula>
    </cfRule>
    <cfRule type="expression" dxfId="2" priority="15">
      <formula>$H$75="Bundsikring"</formula>
    </cfRule>
  </conditionalFormatting>
  <conditionalFormatting sqref="H76">
    <cfRule type="expression" dxfId="1" priority="16">
      <formula>$H$76="Bærelag"</formula>
    </cfRule>
    <cfRule type="expression" dxfId="0" priority="17">
      <formula>$H$76="Bundsikring"</formula>
    </cfRule>
  </conditionalFormatting>
  <dataValidations count="5">
    <dataValidation type="list" sqref="C7" xr:uid="{00000000-0002-0000-0200-000000000000}">
      <formula1>"Direkte (Eu),Via vingestyrke (Cv)"</formula1>
      <formula2>0</formula2>
    </dataValidation>
    <dataValidation type="list" sqref="C15" xr:uid="{00000000-0002-0000-0200-000001000000}">
      <formula1>"1 - Cykelstier (Eo=30),2 - Markveje (Eo=45),3 - Let trafik (Eo=60),4 - Middel trafik (Eo=80),5 - Tung trafik (Eo=120),6 - Meget tung trafik (Eo=150),Indtast Eo direkte"</formula1>
      <formula2>0</formula2>
    </dataValidation>
    <dataValidation type="list" sqref="C21" xr:uid="{00000000-0002-0000-0200-000002000000}">
      <formula1>"Procent,Lagtykkelser"</formula1>
      <formula2>0</formula2>
    </dataValidation>
    <dataValidation type="list" sqref="C71" xr:uid="{00000000-0002-0000-0200-000003000000}">
      <formula1>"Reducer bærelag,Reducer bundsikring,Reducer alle proportionalt,Manuel justering"</formula1>
      <formula2>0</formula2>
    </dataValidation>
    <dataValidation type="list" allowBlank="1" showInputMessage="1" showErrorMessage="1" sqref="C43" xr:uid="{00000000-0002-0000-0200-000004000000}">
      <formula1>"1 lag,2 lag/flere lag"</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Ugyldigt valg" error="Vælg et geonet-produkt fra dropdown-listen." promptTitle="Vælg geonet" prompt="Vælg et produkt fra listen." xr:uid="{34AD2DB7-F088-425C-9628-CAA6798C06DD}">
          <x14:formula1>
            <xm:f>'6. DB Geonet'!$B$6:$B$25</xm:f>
          </x14:formula1>
          <xm:sqref>C36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8"/>
  <sheetViews>
    <sheetView topLeftCell="A14" zoomScaleNormal="100" workbookViewId="0">
      <selection activeCell="I25" sqref="I25"/>
    </sheetView>
  </sheetViews>
  <sheetFormatPr defaultColWidth="8.7109375" defaultRowHeight="15" x14ac:dyDescent="0.25"/>
  <cols>
    <col min="1" max="1" width="2" style="7" customWidth="1"/>
    <col min="2" max="2" width="60" style="7" customWidth="1"/>
    <col min="3" max="3" width="25" style="7" customWidth="1"/>
    <col min="4" max="4" width="15" style="7" customWidth="1"/>
    <col min="5" max="5" width="17.140625" style="7" customWidth="1"/>
    <col min="6" max="16384" width="8.7109375" style="7"/>
  </cols>
  <sheetData>
    <row r="1" spans="2:8" ht="27.75" customHeight="1" x14ac:dyDescent="0.25">
      <c r="B1" s="129" t="s">
        <v>220</v>
      </c>
      <c r="C1" s="129"/>
      <c r="D1" s="129"/>
    </row>
    <row r="3" spans="2:8" ht="45" customHeight="1" x14ac:dyDescent="0.25">
      <c r="B3" s="130" t="s">
        <v>221</v>
      </c>
      <c r="C3" s="130"/>
      <c r="D3" s="130"/>
    </row>
    <row r="5" spans="2:8" ht="21.75" customHeight="1" x14ac:dyDescent="0.25">
      <c r="B5" s="138" t="s">
        <v>222</v>
      </c>
      <c r="C5" s="138"/>
      <c r="D5" s="138"/>
    </row>
    <row r="6" spans="2:8" ht="60" customHeight="1" x14ac:dyDescent="0.25">
      <c r="B6" s="141" t="str">
        <f>"Vi starter med at fastlægge underbundens E-modul (Eu). Du har indtastet "&amp;IF('2. Dimensionering'!$C$7="Direkte (Eu)","Eu direkte: "&amp;TEXT('2. Dimensionering'!$C$11,"0")&amp;" MPa.","vingestyrke, og denne er omsat til Eu via opslag i konverteringstabellen (fane 7.4): Eu = "&amp;TEXT('2. Dimensionering'!$C$11,"0")&amp;" MPa.")</f>
        <v>Vi starter med at fastlægge underbundens E-modul (Eu). Du har indtastet Eu direkte: 10 MPa.</v>
      </c>
      <c r="C6" s="141"/>
      <c r="D6" s="141"/>
    </row>
    <row r="7" spans="2:8" ht="15" customHeight="1" x14ac:dyDescent="0.25">
      <c r="B7" s="23" t="s">
        <v>223</v>
      </c>
      <c r="C7" s="65">
        <f>'2. Dimensionering'!$C$11</f>
        <v>10</v>
      </c>
    </row>
    <row r="9" spans="2:8" ht="21.75" customHeight="1" x14ac:dyDescent="0.25">
      <c r="B9" s="138" t="s">
        <v>224</v>
      </c>
      <c r="C9" s="138"/>
      <c r="D9" s="138"/>
    </row>
    <row r="10" spans="2:8" ht="45" customHeight="1" x14ac:dyDescent="0.25">
      <c r="B10" s="141" t="str">
        <f>"Det krævede E-modul på toppen af bærelaget (Eo) er fastlagt ud fra belastningsklassen. "&amp;"Du har valgt Eo = "&amp;TEXT('2. Dimensionering'!$C$17,"0")&amp;" MPa, som svarer til en standard belastningsklasse jf. GS-GRID Designmanual fig. 5."</f>
        <v>Det krævede E-modul på toppen af bærelaget (Eo) er fastlagt ud fra belastningsklassen. Du har valgt Eo = 150 MPa, som svarer til en standard belastningsklasse jf. GS-GRID Designmanual fig. 5.</v>
      </c>
      <c r="C10" s="141"/>
      <c r="D10" s="141"/>
    </row>
    <row r="11" spans="2:8" ht="15" customHeight="1" x14ac:dyDescent="0.25">
      <c r="B11" s="23" t="s">
        <v>225</v>
      </c>
      <c r="C11" s="65">
        <f>'2. Dimensionering'!$C$17</f>
        <v>150</v>
      </c>
      <c r="H11" s="7" t="s">
        <v>226</v>
      </c>
    </row>
    <row r="13" spans="2:8" ht="21.75" customHeight="1" x14ac:dyDescent="0.25">
      <c r="B13" s="138" t="s">
        <v>227</v>
      </c>
      <c r="C13" s="138"/>
      <c r="D13" s="138"/>
    </row>
    <row r="14" spans="2:8" ht="75" customHeight="1" x14ac:dyDescent="0.25">
      <c r="B14" s="141" t="str">
        <f>"Bærelagets friktionsvinkel (φ) er afgørende for hvor effektivt materialet kan fordele lasten. Værktøjet bruger φ = "&amp;TEXT('2. Dimensionering'!$C$30,"0,0")&amp;"°. "&amp;IF('2. Dimensionering'!$C$21="Lagtykkelser","I LAGTYKKELSE-MODE er φ vægtet efter de konkrete lagtykkelser: Σ(tykkelse_i × φ_i) / Σ(tykkelse_i). ","I PROCENT-MODE er φ vægtet efter de procentvise andele af materialerne. ")&amp;IF('2. Dimensionering'!$C$30&lt;=35,"Dette er minimum for friktionsmaterialer.","Da φ &gt; 35° giver dette en gunstig korrektion på bærelagstykkelsen (se trin 5).")</f>
        <v>Bærelagets friktionsvinkel (φ) er afgørende for hvor effektivt materialet kan fordele lasten. Værktøjet bruger φ = 37,5°. I LAGTYKKELSE-MODE er φ vægtet efter de konkrete lagtykkelser: Σ(tykkelse_i × φ_i) / Σ(tykkelse_i). Da φ &gt; 35° giver dette en gunstig korrektion på bærelagstykkelsen (se trin 5).</v>
      </c>
      <c r="C14" s="141"/>
      <c r="D14" s="141"/>
    </row>
    <row r="15" spans="2:8" ht="15" customHeight="1" x14ac:dyDescent="0.25">
      <c r="B15" s="23" t="s">
        <v>228</v>
      </c>
      <c r="C15" s="66">
        <f>'2. Dimensionering'!$C$30</f>
        <v>37.5</v>
      </c>
    </row>
    <row r="17" spans="2:4" ht="21.75" customHeight="1" x14ac:dyDescent="0.25">
      <c r="B17" s="138" t="s">
        <v>229</v>
      </c>
      <c r="C17" s="138"/>
      <c r="D17" s="138"/>
    </row>
    <row r="18" spans="2:4" ht="75" customHeight="1" x14ac:dyDescent="0.25">
      <c r="B18" s="141" t="str">
        <f>"Vi slår nu op i designdiagrammet for Eo = "&amp;TEXT('2. Dimensionering'!$C$17,"0")&amp;" MPa (fane 7.1). Vi vælger kurven for "&amp;'2. Dimensionering'!$C$43&amp;" og finder bærelagstykkelsen ved Eu = "&amp;TEXT('2. Dimensionering'!$C$11,"0")&amp;" MPa. Da valgt/beregnet Eu kan ligge mellem to af tabellens værdier (I dette tilfælde "&amp;TEXT('2. Dimensionering'!$N$13,"0")&amp;" og "&amp;TEXT('2. Dimensionering'!$N$14,"0")&amp;" MPa), interpoleres lineært. Hvis Eu ligger på et punkt i tabellen, aflæses tabelværdien bare direkte"</f>
        <v>Vi slår nu op i designdiagrammet for Eo = 150 MPa (fane 7.1). Vi vælger kurven for 2 lag/flere lag og finder bærelagstykkelsen ved Eu = 10 MPa. Da valgt/beregnet Eu kan ligge mellem to af tabellens værdier (I dette tilfælde 10 og 12 MPa), interpoleres lineært. Hvis Eu ligger på et punkt i tabellen, aflæses tabelværdien bare direkte</v>
      </c>
      <c r="C18" s="141"/>
      <c r="D18" s="141"/>
    </row>
    <row r="19" spans="2:4" ht="15" customHeight="1" x14ac:dyDescent="0.25">
      <c r="B19" s="15" t="s">
        <v>230</v>
      </c>
      <c r="C19" s="65">
        <f>'2. Dimensionering'!$N$13</f>
        <v>10</v>
      </c>
      <c r="D19" s="2" t="str">
        <f ca="1">CONCATENATE("(T = ",TEXT('2. Dimensionering'!$N$15,"0")," cm)")</f>
        <v>(T = 67 cm)</v>
      </c>
    </row>
    <row r="20" spans="2:4" ht="15" customHeight="1" x14ac:dyDescent="0.25">
      <c r="B20" s="15" t="s">
        <v>231</v>
      </c>
      <c r="C20" s="65">
        <f>'2. Dimensionering'!$N$14</f>
        <v>12</v>
      </c>
      <c r="D20" s="2" t="str">
        <f ca="1">CONCATENATE("(T = ",TEXT('2. Dimensionering'!$N$16,"0")," cm)")</f>
        <v>(T = 60 cm)</v>
      </c>
    </row>
    <row r="21" spans="2:4" ht="15.75" customHeight="1" x14ac:dyDescent="0.25">
      <c r="B21" s="23" t="s">
        <v>578</v>
      </c>
      <c r="C21" s="67">
        <f ca="1">'2. Dimensionering'!$N$18</f>
        <v>667</v>
      </c>
    </row>
    <row r="23" spans="2:4" ht="21.75" customHeight="1" x14ac:dyDescent="0.25">
      <c r="B23" s="138" t="s">
        <v>232</v>
      </c>
      <c r="C23" s="138"/>
      <c r="D23" s="138"/>
    </row>
    <row r="24" spans="2:4" ht="90" customHeight="1" x14ac:dyDescent="0.25">
      <c r="B24" s="141" t="str">
        <f>"Designdiagrammet er baseret på et standard friktionsmateriale med φ ≈ 35°. Hvis dit materiale har en højere φ, kan bærelaget gøres tilsvarende tyndere. Korrektionen er −2 % per grad over 35° (fra Excel-arket AKK 2016). For φ = "&amp;TEXT('2. Dimensionering'!$C$30,"0,0")&amp;"° giver dette en korrektion på "&amp;TEXT('2. Dimensionering'!$N$20,"+0,0%;-0,0%")&amp;"."</f>
        <v>Designdiagrammet er baseret på et standard friktionsmateriale med φ ≈ 35°. Hvis dit materiale har en højere φ, kan bærelaget gøres tilsvarende tyndere. Korrektionen er −2 % per grad over 35° (fra Excel-arket AKK 2016). For φ = 37,5° giver dette en korrektion på -5,0%.</v>
      </c>
      <c r="C24" s="141"/>
      <c r="D24" s="141"/>
    </row>
    <row r="25" spans="2:4" ht="15" customHeight="1" x14ac:dyDescent="0.25">
      <c r="B25" s="23" t="s">
        <v>134</v>
      </c>
      <c r="C25" s="68">
        <f>'2. Dimensionering'!$N$20</f>
        <v>-0.05</v>
      </c>
    </row>
    <row r="27" spans="2:4" ht="21.75" customHeight="1" x14ac:dyDescent="0.25">
      <c r="B27" s="138" t="s">
        <v>233</v>
      </c>
      <c r="C27" s="138"/>
      <c r="D27" s="138"/>
    </row>
    <row r="28" spans="2:4" ht="105" customHeight="1" x14ac:dyDescent="0.25">
      <c r="B28" s="141" t="str">
        <f>"Designdiagrammet bruger GS-GRID SX160 / E'GRID T6 (eller TriAx TX160) som reference-armering (effektindeks 100). Hvis du har valgt en anden armering, skaleres tykkelsen op eller ned. Du har valgt: "&amp;'2. Dimensionering'!$C$36&amp;". Det giver en korrektion på "&amp;TEXT('2. Dimensionering'!$C$39,"+0,0%;-0,0%")&amp;". Bemærk: positiv = tykkere bærelag (mindre effektiv armering), negativ = tyndere bærelag (mere effektiv armering)."</f>
        <v>Designdiagrammet bruger GS-GRID SX160 / E'GRID T6 (eller TriAx TX160) som reference-armering (effektindeks 100). Hvis du har valgt en anden armering, skaleres tykkelsen op eller ned. Du har valgt: GS-GRID SX170. Det giver en korrektion på -10,0%. Bemærk: positiv = tykkere bærelag (mindre effektiv armering), negativ = tyndere bærelag (mere effektiv armering).</v>
      </c>
      <c r="C28" s="141"/>
      <c r="D28" s="141"/>
    </row>
    <row r="29" spans="2:4" ht="15" customHeight="1" x14ac:dyDescent="0.25">
      <c r="B29" s="23" t="s">
        <v>234</v>
      </c>
      <c r="C29" s="68">
        <f>'2. Dimensionering'!$C$39</f>
        <v>-0.1</v>
      </c>
    </row>
    <row r="31" spans="2:4" ht="21.75" customHeight="1" x14ac:dyDescent="0.25">
      <c r="B31" s="138" t="s">
        <v>235</v>
      </c>
      <c r="C31" s="138"/>
      <c r="D31" s="138"/>
    </row>
    <row r="32" spans="2:4" ht="60" customHeight="1" x14ac:dyDescent="0.25">
      <c r="B32" s="141" t="s">
        <v>236</v>
      </c>
      <c r="C32" s="141"/>
      <c r="D32" s="141"/>
    </row>
    <row r="33" spans="2:4" ht="34.5" customHeight="1" x14ac:dyDescent="0.25">
      <c r="B33" s="141" t="str">
        <f ca="1">CONCATENATE("T_armeret = T_basis × (1 + φ-korr + net-korr) = ",TEXT('2. Dimensionering'!$N$18,"0")," mm × ",TEXT('2. Dimensionering'!$N$22,"0.000")," = ",TEXT('2. Dimensionering'!$C$47,"0")," mm")</f>
        <v>T_armeret = T_basis × (1 + φ-korr + net-korr) = 667 mm × 0.001 = 567 mm</v>
      </c>
      <c r="C33" s="141"/>
      <c r="D33" s="141"/>
    </row>
    <row r="34" spans="2:4" ht="15.75" customHeight="1" x14ac:dyDescent="0.25">
      <c r="B34" s="23" t="s">
        <v>237</v>
      </c>
      <c r="C34" s="67">
        <f ca="1">'2. Dimensionering'!$C$47</f>
        <v>566.94999999999993</v>
      </c>
    </row>
    <row r="36" spans="2:4" ht="21.75" customHeight="1" x14ac:dyDescent="0.25">
      <c r="B36" s="138"/>
      <c r="C36" s="138"/>
      <c r="D36" s="138"/>
    </row>
    <row r="37" spans="2:4" ht="75" customHeight="1" x14ac:dyDescent="0.25">
      <c r="B37" s="141"/>
      <c r="C37" s="141"/>
      <c r="D37" s="141"/>
    </row>
    <row r="38" spans="2:4" ht="30" customHeight="1" x14ac:dyDescent="0.25">
      <c r="B38" s="141"/>
      <c r="C38" s="141"/>
      <c r="D38" s="141"/>
    </row>
    <row r="39" spans="2:4" ht="18.75" customHeight="1" x14ac:dyDescent="0.25">
      <c r="B39" s="23"/>
      <c r="C39" s="59"/>
    </row>
    <row r="41" spans="2:4" ht="21.75" customHeight="1" x14ac:dyDescent="0.25">
      <c r="B41" s="138" t="s">
        <v>238</v>
      </c>
      <c r="C41" s="138"/>
      <c r="D41" s="138"/>
    </row>
    <row r="42" spans="2:4" ht="90" customHeight="1" x14ac:dyDescent="0.25">
      <c r="B42" s="141" t="str">
        <f ca="1">IFERROR("Hvis vi havde lavet samme opbygning UDEN armering, ville bærelaget skulle være "&amp;TEXT('2. Dimensionering'!$C$46,"0")&amp;" mm tykt. Med din valgte armering reduceres tykkelsen til "&amp;TEXT('2. Dimensionering'!$C$47,"0")&amp;" mm. Det er en reduktion på "&amp;TEXT('2. Dimensionering'!$C$46-'2. Dimensionering'!$C$47,"0")&amp;" mm svarende til "&amp;TEXT(('2. Dimensionering'!$C$46-'2. Dimensionering'!$C$47)/'2. Dimensionering'!$C$46,"0%")&amp;" — den væsentligste fordel ved at bruge geonet i denne opbygning.","(Beregning ikke mulig — tjek input på fane 2)")</f>
        <v>Hvis vi havde lavet samme opbygning UDEN armering, ville bærelaget skulle være 1100 mm tykt. Med din valgte armering reduceres tykkelsen til 567 mm. Det er en reduktion på 533 mm svarende til 48% — den væsentligste fordel ved at bruge geonet i denne opbygning.</v>
      </c>
      <c r="C42" s="141"/>
      <c r="D42" s="141"/>
    </row>
    <row r="44" spans="2:4" ht="27.75" customHeight="1" x14ac:dyDescent="0.3">
      <c r="B44" s="69" t="s">
        <v>239</v>
      </c>
      <c r="C44" s="70"/>
      <c r="D44" s="70"/>
    </row>
    <row r="45" spans="2:4" ht="90" customHeight="1" x14ac:dyDescent="0.25">
      <c r="B45" s="159" t="str">
        <f ca="1">IF('2. Dimensionering'!$C$21&lt;&gt;"Lagtykkelser","ⓘ Dette trin er kun aktivt i lagtykkelse-mode. Skift indtastningsmetode i Sektion C på fane 2 for at se forklaringen.","I lagtykkelse-mode har du indtastet konkrete tykkelser for hvert lag, og værktøjet kan derfor sammenligne din planlagte opbygning med både uarmeret og armeret krav. Din planlagte total er "&amp;TEXT('2. Dimensionering'!$C$52,"0")&amp;" mm. Sammenlignet med det uarmerede krav på "&amp;TEXT('2. Dimensionering'!$C$46,"0")&amp;" mm har din plan "&amp;IF('2. Dimensionering'!$C$53&gt;=0,"+"&amp;TEXT('2. Dimensionering'!$C$53,"0")&amp;" mm slæk (tilstrækkelig).",TEXT('2. Dimensionering'!$C$53,"0")&amp;" mm — utilstrækkelig uden armering.")&amp;" Sammenlignet med det armerede krav på "&amp;TEXT('2. Dimensionering'!$C$47,"0")&amp;" mm har din plan "&amp;IF('2. Dimensionering'!$C$54&gt;=0,"+"&amp;TEXT('2. Dimensionering'!$C$54,"0")&amp;" mm slæk (tilstrækkelig med armering).",TEXT('2. Dimensionering'!$C$54,"0")&amp;" mm — utilstrækkelig selv med armering.")&amp;" Den mulige besparelse fra din plan ved armering er dermed "&amp;TEXT('2. Dimensionering'!$C$55,"0")&amp;" mm.")</f>
        <v>I lagtykkelse-mode har du indtastet konkrete tykkelser for hvert lag, og værktøjet kan derfor sammenligne din planlagte opbygning med både uarmeret og armeret krav. Din planlagte total er 600 mm. Sammenlignet med det uarmerede krav på 1100 mm har din plan -500 mm — utilstrækkelig uden armering. Sammenlignet med det armerede krav på 567 mm har din plan +33 mm slæk (tilstrækkelig med armering). Den mulige besparelse fra din plan ved armering er dermed 33 mm.</v>
      </c>
      <c r="C45" s="159"/>
      <c r="D45" s="159"/>
    </row>
    <row r="46" spans="2:4" ht="6" customHeight="1" x14ac:dyDescent="0.25"/>
    <row r="47" spans="2:4" ht="19.5" customHeight="1" x14ac:dyDescent="0.25">
      <c r="B47" s="72" t="s">
        <v>240</v>
      </c>
      <c r="C47" s="73">
        <f>'2. Dimensionering'!$C$52</f>
        <v>600</v>
      </c>
      <c r="D47" s="71"/>
    </row>
    <row r="48" spans="2:4" ht="19.5" customHeight="1" x14ac:dyDescent="0.25">
      <c r="B48" s="72" t="s">
        <v>241</v>
      </c>
      <c r="C48" s="74">
        <f ca="1">'2. Dimensionering'!$C$46</f>
        <v>1100</v>
      </c>
      <c r="D48" s="71"/>
    </row>
    <row r="49" spans="2:5" ht="19.5" customHeight="1" x14ac:dyDescent="0.25">
      <c r="B49" s="72" t="s">
        <v>242</v>
      </c>
      <c r="C49" s="74">
        <f ca="1">'2. Dimensionering'!$C$47</f>
        <v>566.94999999999993</v>
      </c>
      <c r="D49" s="71"/>
    </row>
    <row r="50" spans="2:5" ht="19.5" customHeight="1" x14ac:dyDescent="0.25">
      <c r="B50" s="72" t="s">
        <v>243</v>
      </c>
      <c r="C50" s="74">
        <f ca="1">'2. Dimensionering'!$C$55</f>
        <v>33.050000000000068</v>
      </c>
      <c r="D50" s="71"/>
    </row>
    <row r="51" spans="2:5" ht="7.5" customHeight="1" x14ac:dyDescent="0.25"/>
    <row r="52" spans="2:5" ht="27.75" customHeight="1" x14ac:dyDescent="0.3">
      <c r="B52" s="160" t="s">
        <v>244</v>
      </c>
      <c r="C52" s="160"/>
      <c r="D52" s="160"/>
    </row>
    <row r="53" spans="2:5" ht="72" customHeight="1" x14ac:dyDescent="0.25">
      <c r="B53" s="159" t="str">
        <f>IF('2. Dimensionering'!$C$21&lt;&gt;"Lagtykkelser","ⓘ Dette trin er kun aktivt i lagtykkelse-mode.","Når armeringen tillader at du reducerer opbygningen, skal de sparede millimeter tages et eller flere steder. Du har valgt strategien """&amp;'2. Dimensionering'!$C$71&amp;""". "&amp;IF('2. Dimensionering'!$C$71="Reducer bærelag",_xlfn._LONGTEXT("Denne strategi reducerer udelukkende bærelaget/bærelagene (typisk stabilgrus eller knust beton). Hvis du har flere bærelag fordeles reduktionen proportionalt mellem dem. Bundsikringen bevares uændret. Vær opmærksom: hvis bærelaget bliver meget tyndt, kan ","dæklags-kravet på 200 mm være underskredet."),IF('2. Dimensionering'!$C$71="Reducer bundsikring",_xlfn._LONGTEXT("Denne strategi reducerer udelukkende bundsikringen, og bevarer bærelaget i sin oprindelige tykkelse. Det er ofte det praktisk mest meningsfulde valg, fordi bærelaget (stabilgrus) er det dyre kvalitetsmateriale du gerne vil beholde i fuld tykkelse for kørs","elsoverflade. Bundsikringen er det billigere drænende lag der reduceres."),IF('2. Dimensionering'!$C$71="Reducer alle proportionalt","Denne strategi reducerer alle lag med samme procent. Forholdet mellem bærelag og bundsikring bevares præcis. Det er en god strategi hvis du har specifikationer der kræver et bestemt forhold mellem lagene.","Denne strategi giver dig fuld kontrol — du indtaster selv de ønskede lagtykkelser i kolonnen ""Manuel (mm)"" på fane 2. Værktøjet validerer at den samlede tykkelse opfylder armeret krav."))))</f>
        <v>Når armeringen tillader at du reducerer opbygningen, skal de sparede millimeter tages et eller flere steder. Du har valgt strategien "Manuel justering". Denne strategi giver dig fuld kontrol — du indtaster selv de ønskede lagtykkelser i kolonnen "Manuel (mm)" på fane 2. Værktøjet validerer at den samlede tykkelse opfylder armeret krav.</v>
      </c>
      <c r="C53" s="159"/>
      <c r="D53" s="159"/>
    </row>
    <row r="54" spans="2:5" ht="6" customHeight="1" x14ac:dyDescent="0.25"/>
    <row r="55" spans="2:5" ht="21.75" customHeight="1" x14ac:dyDescent="0.25">
      <c r="B55" s="75" t="s">
        <v>176</v>
      </c>
      <c r="C55" s="75" t="s">
        <v>116</v>
      </c>
      <c r="D55" s="75" t="s">
        <v>177</v>
      </c>
      <c r="E55" s="75" t="s">
        <v>178</v>
      </c>
    </row>
    <row r="56" spans="2:5" ht="19.5" customHeight="1" x14ac:dyDescent="0.25">
      <c r="B56" s="76" t="s">
        <v>181</v>
      </c>
      <c r="C56" s="77" t="str">
        <f>'2. Dimensionering'!$B$23</f>
        <v>SG I 0-32</v>
      </c>
      <c r="D56" s="74">
        <f>'2. Dimensionering'!$D$23</f>
        <v>300</v>
      </c>
      <c r="E56" s="78">
        <f>'2. Dimensionering'!$G$74</f>
        <v>300</v>
      </c>
    </row>
    <row r="57" spans="2:5" ht="19.5" customHeight="1" x14ac:dyDescent="0.25">
      <c r="B57" s="76" t="s">
        <v>182</v>
      </c>
      <c r="C57" s="77" t="str">
        <f>'2. Dimensionering'!$B$24</f>
        <v>Bundsand</v>
      </c>
      <c r="D57" s="74">
        <f>'2. Dimensionering'!$D$24</f>
        <v>300</v>
      </c>
      <c r="E57" s="78">
        <f>'2. Dimensionering'!$G$75</f>
        <v>300</v>
      </c>
    </row>
    <row r="58" spans="2:5" ht="19.5" customHeight="1" x14ac:dyDescent="0.25">
      <c r="B58" s="76" t="s">
        <v>183</v>
      </c>
      <c r="C58" s="77">
        <f>'2. Dimensionering'!$B$25</f>
        <v>0</v>
      </c>
      <c r="D58" s="74">
        <f>'2. Dimensionering'!$D$25</f>
        <v>0</v>
      </c>
      <c r="E58" s="78" t="str">
        <f>'2. Dimensionering'!$G$76</f>
        <v/>
      </c>
    </row>
    <row r="59" spans="2:5" ht="19.5" customHeight="1" x14ac:dyDescent="0.25">
      <c r="B59" s="79"/>
      <c r="C59" s="80" t="s">
        <v>245</v>
      </c>
      <c r="D59" s="81">
        <f>'2. Dimensionering'!$C$52</f>
        <v>600</v>
      </c>
      <c r="E59" s="73">
        <f>'2. Dimensionering'!$G$77</f>
        <v>600</v>
      </c>
    </row>
    <row r="60" spans="2:5" ht="6" customHeight="1" x14ac:dyDescent="0.25"/>
    <row r="61" spans="2:5" ht="36" customHeight="1" x14ac:dyDescent="0.25">
      <c r="B61" s="159" t="str">
        <f>IF('2. Dimensionering'!$C$21&lt;&gt;"Lagtykkelser","",IF(ISNUMBER('2. Dimensionering'!$C$80),"Med denne strategi sparer du "&amp;TEXT('2. Dimensionering'!$C$80,"0")&amp;" mm i forhold til din oprindelige plan. Det svarer til "&amp;TEXT(IFERROR('2. Dimensionering'!$C$80/'2. Dimensionering'!$C$52,0),"0%")&amp;" reduktion af den samlede opbygning.",""))</f>
        <v>Med denne strategi sparer du 0 mm i forhold til din oprindelige plan. Det svarer til 0% reduktion af den samlede opbygning.</v>
      </c>
      <c r="C61" s="159"/>
      <c r="D61" s="159"/>
    </row>
    <row r="62" spans="2:5" ht="7.5" customHeight="1" x14ac:dyDescent="0.25"/>
    <row r="63" spans="2:5" ht="27.75" customHeight="1" x14ac:dyDescent="0.3">
      <c r="B63" s="69" t="s">
        <v>246</v>
      </c>
      <c r="C63" s="70"/>
      <c r="D63" s="70"/>
    </row>
    <row r="64" spans="2:5" ht="90" customHeight="1" x14ac:dyDescent="0.25">
      <c r="B64" s="159" t="str">
        <f>IF('2. Dimensionering'!$C$21&lt;&gt;"Lagtykkelser","ⓘ Dette trin er kun aktivt i lagtykkelse-mode.","Geonettets placering afhænger af antallet af lag og opbygningens struktur. For din aktuelle opbygning: "&amp;'2. Dimensionering'!$C$82&amp;_xlfn._LONGTEXT(". Reglen er at geonettet altid placeres i laggrænsen mellem to materialer (når der er flere lag) eller i bunden af et homogent lag. Geonettet skal have minimum 200 mm dæklag af bærelagsmateriale over sig for at opnå armeringseffekt — det er en praktisk gr","ænse fra designmanualerne. Hvis dit foreslåede design har et lag tyndere end 200 mm, vil værktøjet vise en advarsel i Sektion H."))</f>
        <v>Geonettets placering afhænger af antallet af lag og opbygningens struktur. For din aktuelle opbygning: 2 net: ét ved laggrænsen mellem bærelag og bundsikring, og ét ved bunden mod råjordsplanum. Reglen er at geonettet altid placeres i laggrænsen mellem to materialer (når der er flere lag) eller i bunden af et homogent lag. Geonettet skal have minimum 200 mm dæklag af bærelagsmateriale over sig for at opnå armeringseffekt — det er en praktisk grænse fra designmanualerne. Hvis dit foreslåede design har et lag tyndere end 200 mm, vil værktøjet vise en advarsel i Sektion H.</v>
      </c>
      <c r="C64" s="159"/>
      <c r="D64" s="159"/>
    </row>
    <row r="65" spans="2:4" ht="7.5" customHeight="1" x14ac:dyDescent="0.25"/>
    <row r="66" spans="2:4" ht="21.75" customHeight="1" x14ac:dyDescent="0.25">
      <c r="B66" s="138" t="s">
        <v>247</v>
      </c>
      <c r="C66" s="138"/>
      <c r="D66" s="138"/>
    </row>
    <row r="67" spans="2:4" ht="15" customHeight="1" x14ac:dyDescent="0.25">
      <c r="B67" s="158" t="s">
        <v>248</v>
      </c>
      <c r="C67" s="158"/>
      <c r="D67" s="158"/>
    </row>
    <row r="68" spans="2:4" ht="45" customHeight="1" x14ac:dyDescent="0.25">
      <c r="B68" s="141" t="s">
        <v>249</v>
      </c>
      <c r="C68" s="141"/>
      <c r="D68" s="141"/>
    </row>
    <row r="69" spans="2:4" ht="15" customHeight="1" x14ac:dyDescent="0.25">
      <c r="B69" s="158" t="s">
        <v>250</v>
      </c>
      <c r="C69" s="158"/>
      <c r="D69" s="158"/>
    </row>
    <row r="70" spans="2:4" ht="45" customHeight="1" x14ac:dyDescent="0.25">
      <c r="B70" s="141" t="s">
        <v>251</v>
      </c>
      <c r="C70" s="141"/>
      <c r="D70" s="141"/>
    </row>
    <row r="71" spans="2:4" ht="15" customHeight="1" x14ac:dyDescent="0.25">
      <c r="B71" s="158" t="s">
        <v>252</v>
      </c>
      <c r="C71" s="158"/>
      <c r="D71" s="158"/>
    </row>
    <row r="72" spans="2:4" ht="45" customHeight="1" x14ac:dyDescent="0.25">
      <c r="B72" s="141" t="s">
        <v>253</v>
      </c>
      <c r="C72" s="141"/>
      <c r="D72" s="141"/>
    </row>
    <row r="73" spans="2:4" ht="15" customHeight="1" x14ac:dyDescent="0.25">
      <c r="B73" s="158"/>
      <c r="C73" s="158"/>
      <c r="D73" s="158"/>
    </row>
    <row r="74" spans="2:4" ht="45" customHeight="1" x14ac:dyDescent="0.25">
      <c r="B74" s="141"/>
      <c r="C74" s="141"/>
      <c r="D74" s="141"/>
    </row>
    <row r="75" spans="2:4" ht="15" customHeight="1" x14ac:dyDescent="0.25">
      <c r="B75" s="158" t="s">
        <v>254</v>
      </c>
      <c r="C75" s="158"/>
      <c r="D75" s="158"/>
    </row>
    <row r="76" spans="2:4" ht="45" customHeight="1" x14ac:dyDescent="0.25">
      <c r="B76" s="141" t="s">
        <v>255</v>
      </c>
      <c r="C76" s="141"/>
      <c r="D76" s="141"/>
    </row>
    <row r="77" spans="2:4" ht="19.5" customHeight="1" x14ac:dyDescent="0.25">
      <c r="B77" s="82" t="s">
        <v>256</v>
      </c>
    </row>
    <row r="78" spans="2:4" ht="60" customHeight="1" x14ac:dyDescent="0.25">
      <c r="B78" s="159" t="s">
        <v>257</v>
      </c>
      <c r="C78" s="159"/>
      <c r="D78" s="159"/>
    </row>
  </sheetData>
  <mergeCells count="39">
    <mergeCell ref="B1:D1"/>
    <mergeCell ref="B3:D3"/>
    <mergeCell ref="B5:D5"/>
    <mergeCell ref="B6:D6"/>
    <mergeCell ref="B9:D9"/>
    <mergeCell ref="B10:D10"/>
    <mergeCell ref="B13:D13"/>
    <mergeCell ref="B14:D14"/>
    <mergeCell ref="B17:D17"/>
    <mergeCell ref="B18:D18"/>
    <mergeCell ref="B23:D23"/>
    <mergeCell ref="B24:D24"/>
    <mergeCell ref="B27:D27"/>
    <mergeCell ref="B28:D28"/>
    <mergeCell ref="B31:D31"/>
    <mergeCell ref="B32:D32"/>
    <mergeCell ref="B33:D33"/>
    <mergeCell ref="B36:D36"/>
    <mergeCell ref="B37:D37"/>
    <mergeCell ref="B38:D38"/>
    <mergeCell ref="B41:D41"/>
    <mergeCell ref="B42:D42"/>
    <mergeCell ref="B45:D45"/>
    <mergeCell ref="B52:D52"/>
    <mergeCell ref="B53:D53"/>
    <mergeCell ref="B61:D61"/>
    <mergeCell ref="B64:D64"/>
    <mergeCell ref="B66:D66"/>
    <mergeCell ref="B67:D67"/>
    <mergeCell ref="B68:D68"/>
    <mergeCell ref="B74:D74"/>
    <mergeCell ref="B75:D75"/>
    <mergeCell ref="B76:D76"/>
    <mergeCell ref="B78:D78"/>
    <mergeCell ref="B69:D69"/>
    <mergeCell ref="B70:D70"/>
    <mergeCell ref="B71:D71"/>
    <mergeCell ref="B72:D72"/>
    <mergeCell ref="B73:D7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32"/>
  <sheetViews>
    <sheetView zoomScaleNormal="100" workbookViewId="0">
      <selection activeCell="F9" sqref="B9:F9"/>
    </sheetView>
  </sheetViews>
  <sheetFormatPr defaultColWidth="8.7109375" defaultRowHeight="15" x14ac:dyDescent="0.25"/>
  <cols>
    <col min="1" max="1" width="2" style="7" customWidth="1"/>
    <col min="2" max="2" width="32" style="7" customWidth="1"/>
    <col min="3" max="4" width="14" style="7" customWidth="1"/>
    <col min="5" max="5" width="12" style="7" customWidth="1"/>
    <col min="6" max="6" width="74.5703125" style="7" customWidth="1"/>
    <col min="7" max="7" width="3" style="7" customWidth="1"/>
    <col min="8" max="16384" width="8.7109375" style="7"/>
  </cols>
  <sheetData>
    <row r="1" spans="2:6" ht="27.75" customHeight="1" x14ac:dyDescent="0.25">
      <c r="B1" s="129" t="s">
        <v>258</v>
      </c>
      <c r="C1" s="129"/>
      <c r="D1" s="129"/>
      <c r="E1" s="129"/>
      <c r="F1" s="129"/>
    </row>
    <row r="3" spans="2:6" ht="60" customHeight="1" x14ac:dyDescent="0.25">
      <c r="B3" s="130" t="s">
        <v>259</v>
      </c>
      <c r="C3" s="130"/>
      <c r="D3" s="130"/>
      <c r="E3" s="130"/>
      <c r="F3" s="130"/>
    </row>
    <row r="5" spans="2:6" ht="21.75" customHeight="1" x14ac:dyDescent="0.25">
      <c r="B5" s="138" t="s">
        <v>260</v>
      </c>
      <c r="C5" s="138"/>
      <c r="D5" s="138"/>
      <c r="E5" s="138"/>
      <c r="F5" s="138"/>
    </row>
    <row r="6" spans="2:6" ht="15" customHeight="1" x14ac:dyDescent="0.25">
      <c r="B6" s="33" t="s">
        <v>261</v>
      </c>
      <c r="C6" s="33" t="s">
        <v>262</v>
      </c>
      <c r="D6" s="33" t="s">
        <v>263</v>
      </c>
      <c r="E6" s="33" t="s">
        <v>264</v>
      </c>
      <c r="F6" s="33" t="s">
        <v>265</v>
      </c>
    </row>
    <row r="7" spans="2:6" ht="30" customHeight="1" x14ac:dyDescent="0.25">
      <c r="B7" s="11" t="s">
        <v>266</v>
      </c>
      <c r="C7" s="83">
        <v>-0.02</v>
      </c>
      <c r="D7" s="47"/>
      <c r="E7" s="84">
        <f>IF(ISBLANK(D7),C7,D7)</f>
        <v>-0.02</v>
      </c>
      <c r="F7" s="85" t="s">
        <v>267</v>
      </c>
    </row>
    <row r="8" spans="2:6" ht="30" customHeight="1" x14ac:dyDescent="0.25">
      <c r="B8" s="11"/>
      <c r="C8" s="83"/>
      <c r="D8" s="47"/>
      <c r="E8" s="84"/>
      <c r="F8" s="85"/>
    </row>
    <row r="9" spans="2:6" ht="58.5" customHeight="1" x14ac:dyDescent="0.25">
      <c r="B9" s="86" t="s">
        <v>268</v>
      </c>
      <c r="C9" s="87">
        <v>0.1</v>
      </c>
      <c r="D9" s="88" t="s">
        <v>269</v>
      </c>
      <c r="E9" s="89">
        <f>C9</f>
        <v>0.1</v>
      </c>
      <c r="F9" s="90" t="s">
        <v>270</v>
      </c>
    </row>
    <row r="11" spans="2:6" ht="21.75" customHeight="1" x14ac:dyDescent="0.25">
      <c r="B11" s="138" t="s">
        <v>271</v>
      </c>
      <c r="C11" s="138"/>
      <c r="D11" s="138"/>
      <c r="E11" s="138"/>
      <c r="F11" s="138"/>
    </row>
    <row r="12" spans="2:6" ht="56.25" customHeight="1" x14ac:dyDescent="0.25">
      <c r="B12" s="130" t="s">
        <v>272</v>
      </c>
      <c r="C12" s="130"/>
      <c r="D12" s="130"/>
      <c r="E12" s="130"/>
      <c r="F12" s="130"/>
    </row>
    <row r="13" spans="2:6" ht="15" customHeight="1" x14ac:dyDescent="0.25">
      <c r="B13" s="33" t="s">
        <v>273</v>
      </c>
      <c r="C13" s="33" t="s">
        <v>262</v>
      </c>
      <c r="D13" s="33" t="s">
        <v>263</v>
      </c>
      <c r="E13" s="33" t="s">
        <v>264</v>
      </c>
      <c r="F13" s="33" t="s">
        <v>265</v>
      </c>
    </row>
    <row r="14" spans="2:6" ht="15" customHeight="1" x14ac:dyDescent="0.25">
      <c r="B14" s="91" t="s">
        <v>274</v>
      </c>
      <c r="C14" s="83">
        <v>0.1</v>
      </c>
      <c r="D14" s="47"/>
      <c r="E14" s="84">
        <f t="shared" ref="E14:E32" si="0">IF(ISBLANK(D14),C14,D14)</f>
        <v>0.1</v>
      </c>
      <c r="F14" s="85" t="s">
        <v>275</v>
      </c>
    </row>
    <row r="15" spans="2:6" ht="15" customHeight="1" x14ac:dyDescent="0.25">
      <c r="B15" s="91" t="s">
        <v>276</v>
      </c>
      <c r="C15" s="83">
        <v>0.1</v>
      </c>
      <c r="D15" s="47"/>
      <c r="E15" s="84">
        <f t="shared" si="0"/>
        <v>0.1</v>
      </c>
      <c r="F15" s="85" t="s">
        <v>275</v>
      </c>
    </row>
    <row r="16" spans="2:6" ht="15" customHeight="1" x14ac:dyDescent="0.25">
      <c r="B16" s="91" t="s">
        <v>277</v>
      </c>
      <c r="C16" s="83">
        <v>0.05</v>
      </c>
      <c r="D16" s="47"/>
      <c r="E16" s="84">
        <f t="shared" si="0"/>
        <v>0.05</v>
      </c>
      <c r="F16" s="85" t="s">
        <v>278</v>
      </c>
    </row>
    <row r="17" spans="2:6" ht="15" customHeight="1" x14ac:dyDescent="0.25">
      <c r="B17" s="91" t="s">
        <v>279</v>
      </c>
      <c r="C17" s="83">
        <v>0</v>
      </c>
      <c r="D17" s="47"/>
      <c r="E17" s="84">
        <f t="shared" si="0"/>
        <v>0</v>
      </c>
      <c r="F17" s="85" t="s">
        <v>280</v>
      </c>
    </row>
    <row r="18" spans="2:6" ht="15" customHeight="1" x14ac:dyDescent="0.25">
      <c r="B18" s="91" t="s">
        <v>281</v>
      </c>
      <c r="C18" s="83">
        <v>-0.05</v>
      </c>
      <c r="D18" s="47"/>
      <c r="E18" s="84">
        <f t="shared" si="0"/>
        <v>-0.05</v>
      </c>
      <c r="F18" s="85" t="s">
        <v>282</v>
      </c>
    </row>
    <row r="19" spans="2:6" ht="15" customHeight="1" x14ac:dyDescent="0.25">
      <c r="B19" s="91" t="s">
        <v>142</v>
      </c>
      <c r="C19" s="83">
        <v>-0.1</v>
      </c>
      <c r="D19" s="47"/>
      <c r="E19" s="84">
        <f t="shared" si="0"/>
        <v>-0.1</v>
      </c>
      <c r="F19" s="85" t="s">
        <v>283</v>
      </c>
    </row>
    <row r="20" spans="2:6" ht="15" customHeight="1" x14ac:dyDescent="0.25">
      <c r="B20" s="91" t="s">
        <v>284</v>
      </c>
      <c r="C20" s="83">
        <v>-0.15</v>
      </c>
      <c r="D20" s="47"/>
      <c r="E20" s="84">
        <f t="shared" si="0"/>
        <v>-0.15</v>
      </c>
      <c r="F20" s="85" t="s">
        <v>285</v>
      </c>
    </row>
    <row r="21" spans="2:6" ht="15" customHeight="1" x14ac:dyDescent="0.25">
      <c r="B21" s="91" t="s">
        <v>286</v>
      </c>
      <c r="C21" s="83">
        <v>0.2</v>
      </c>
      <c r="D21" s="47"/>
      <c r="E21" s="84">
        <f t="shared" si="0"/>
        <v>0.2</v>
      </c>
      <c r="F21" s="85"/>
    </row>
    <row r="22" spans="2:6" ht="15" customHeight="1" x14ac:dyDescent="0.25">
      <c r="B22" s="91" t="s">
        <v>287</v>
      </c>
      <c r="C22" s="83">
        <v>0.2</v>
      </c>
      <c r="D22" s="47"/>
      <c r="E22" s="84">
        <f t="shared" si="0"/>
        <v>0.2</v>
      </c>
      <c r="F22" s="85"/>
    </row>
    <row r="23" spans="2:6" ht="15" customHeight="1" x14ac:dyDescent="0.25">
      <c r="B23" s="91" t="s">
        <v>288</v>
      </c>
      <c r="C23" s="83">
        <v>0.1</v>
      </c>
      <c r="D23" s="47"/>
      <c r="E23" s="84">
        <f t="shared" si="0"/>
        <v>0.1</v>
      </c>
      <c r="F23" s="85"/>
    </row>
    <row r="24" spans="2:6" ht="15" customHeight="1" x14ac:dyDescent="0.25">
      <c r="B24" s="91" t="s">
        <v>289</v>
      </c>
      <c r="C24" s="83">
        <v>0.1</v>
      </c>
      <c r="D24" s="47"/>
      <c r="E24" s="84">
        <f t="shared" si="0"/>
        <v>0.1</v>
      </c>
      <c r="F24" s="85"/>
    </row>
    <row r="25" spans="2:6" ht="15" customHeight="1" x14ac:dyDescent="0.25">
      <c r="B25" s="91" t="s">
        <v>290</v>
      </c>
      <c r="C25" s="83">
        <v>0.1</v>
      </c>
      <c r="D25" s="47"/>
      <c r="E25" s="84">
        <f t="shared" si="0"/>
        <v>0.1</v>
      </c>
      <c r="F25" s="85"/>
    </row>
    <row r="26" spans="2:6" ht="15" customHeight="1" x14ac:dyDescent="0.25">
      <c r="B26" s="91" t="s">
        <v>291</v>
      </c>
      <c r="C26" s="83">
        <v>0</v>
      </c>
      <c r="D26" s="47"/>
      <c r="E26" s="84">
        <f t="shared" si="0"/>
        <v>0</v>
      </c>
      <c r="F26" s="85"/>
    </row>
    <row r="27" spans="2:6" ht="15" customHeight="1" x14ac:dyDescent="0.25">
      <c r="B27" s="91" t="s">
        <v>292</v>
      </c>
      <c r="C27" s="83">
        <v>0</v>
      </c>
      <c r="D27" s="47"/>
      <c r="E27" s="84">
        <f t="shared" si="0"/>
        <v>0</v>
      </c>
      <c r="F27" s="85"/>
    </row>
    <row r="28" spans="2:6" ht="15" customHeight="1" x14ac:dyDescent="0.25">
      <c r="B28" s="91" t="s">
        <v>293</v>
      </c>
      <c r="C28" s="83">
        <v>0</v>
      </c>
      <c r="D28" s="47"/>
      <c r="E28" s="84">
        <f t="shared" si="0"/>
        <v>0</v>
      </c>
      <c r="F28" s="85" t="s">
        <v>294</v>
      </c>
    </row>
    <row r="29" spans="2:6" ht="15" customHeight="1" x14ac:dyDescent="0.25">
      <c r="B29" s="91" t="s">
        <v>295</v>
      </c>
      <c r="C29" s="83">
        <v>-0.1</v>
      </c>
      <c r="D29" s="47"/>
      <c r="E29" s="84">
        <f t="shared" si="0"/>
        <v>-0.1</v>
      </c>
      <c r="F29" s="85"/>
    </row>
    <row r="30" spans="2:6" ht="15" customHeight="1" x14ac:dyDescent="0.25">
      <c r="B30" s="91" t="s">
        <v>296</v>
      </c>
      <c r="C30" s="83">
        <v>0</v>
      </c>
      <c r="D30" s="47"/>
      <c r="E30" s="84">
        <f t="shared" si="0"/>
        <v>0</v>
      </c>
      <c r="F30" s="85" t="s">
        <v>297</v>
      </c>
    </row>
    <row r="31" spans="2:6" ht="15" customHeight="1" x14ac:dyDescent="0.25">
      <c r="B31" s="91" t="s">
        <v>298</v>
      </c>
      <c r="C31" s="83">
        <v>-0.1</v>
      </c>
      <c r="D31" s="47"/>
      <c r="E31" s="84">
        <f t="shared" si="0"/>
        <v>-0.1</v>
      </c>
      <c r="F31" s="85" t="s">
        <v>299</v>
      </c>
    </row>
    <row r="32" spans="2:6" ht="15" customHeight="1" x14ac:dyDescent="0.25">
      <c r="B32" s="91" t="s">
        <v>300</v>
      </c>
      <c r="C32" s="83">
        <v>-0.1</v>
      </c>
      <c r="D32" s="47"/>
      <c r="E32" s="84">
        <f t="shared" si="0"/>
        <v>-0.1</v>
      </c>
      <c r="F32" s="85"/>
    </row>
  </sheetData>
  <mergeCells count="5">
    <mergeCell ref="B1:F1"/>
    <mergeCell ref="B3:F3"/>
    <mergeCell ref="B5:F5"/>
    <mergeCell ref="B11:F11"/>
    <mergeCell ref="B12:F1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22"/>
  <sheetViews>
    <sheetView zoomScaleNormal="100" workbookViewId="0">
      <selection activeCell="B8" sqref="B8"/>
    </sheetView>
  </sheetViews>
  <sheetFormatPr defaultColWidth="8.7109375" defaultRowHeight="15" x14ac:dyDescent="0.25"/>
  <cols>
    <col min="1" max="1" width="2" style="7" customWidth="1"/>
    <col min="2" max="2" width="28" style="7" customWidth="1"/>
    <col min="3" max="3" width="12" style="7" customWidth="1"/>
    <col min="4" max="4" width="14" style="7" customWidth="1"/>
    <col min="5" max="5" width="16" style="7" customWidth="1"/>
    <col min="6" max="6" width="42" style="7" customWidth="1"/>
    <col min="7" max="7" width="3" style="7" customWidth="1"/>
    <col min="8" max="16384" width="8.7109375" style="7"/>
  </cols>
  <sheetData>
    <row r="1" spans="2:6" ht="27.75" customHeight="1" x14ac:dyDescent="0.25">
      <c r="B1" s="129" t="s">
        <v>301</v>
      </c>
      <c r="C1" s="129"/>
      <c r="D1" s="129"/>
      <c r="E1" s="129"/>
      <c r="F1" s="129"/>
    </row>
    <row r="3" spans="2:6" ht="69.75" customHeight="1" x14ac:dyDescent="0.25">
      <c r="B3" s="130" t="s">
        <v>302</v>
      </c>
      <c r="C3" s="130"/>
      <c r="D3" s="130"/>
      <c r="E3" s="130"/>
      <c r="F3" s="130"/>
    </row>
    <row r="5" spans="2:6" ht="30" customHeight="1" x14ac:dyDescent="0.25">
      <c r="B5" s="33" t="s">
        <v>116</v>
      </c>
      <c r="C5" s="33" t="s">
        <v>119</v>
      </c>
      <c r="D5" s="33" t="s">
        <v>303</v>
      </c>
      <c r="E5" s="33" t="s">
        <v>120</v>
      </c>
      <c r="F5" s="33" t="s">
        <v>304</v>
      </c>
    </row>
    <row r="6" spans="2:6" ht="21.75" customHeight="1" x14ac:dyDescent="0.25">
      <c r="B6" s="92" t="s">
        <v>124</v>
      </c>
      <c r="C6" s="93">
        <v>35</v>
      </c>
      <c r="D6" s="94">
        <v>8</v>
      </c>
      <c r="E6" s="95" t="s">
        <v>305</v>
      </c>
      <c r="F6" s="11" t="s">
        <v>306</v>
      </c>
    </row>
    <row r="7" spans="2:6" ht="21.75" customHeight="1" x14ac:dyDescent="0.25">
      <c r="B7" s="92" t="s">
        <v>307</v>
      </c>
      <c r="C7" s="93">
        <v>38</v>
      </c>
      <c r="D7" s="94">
        <v>80</v>
      </c>
      <c r="E7" s="95" t="s">
        <v>305</v>
      </c>
      <c r="F7" s="11" t="s">
        <v>305</v>
      </c>
    </row>
    <row r="8" spans="2:6" ht="21.75" customHeight="1" x14ac:dyDescent="0.25">
      <c r="B8" s="92" t="s">
        <v>308</v>
      </c>
      <c r="C8" s="93">
        <v>40</v>
      </c>
      <c r="D8" s="94">
        <v>32</v>
      </c>
      <c r="E8" s="96" t="s">
        <v>309</v>
      </c>
      <c r="F8" s="11" t="s">
        <v>310</v>
      </c>
    </row>
    <row r="9" spans="2:6" ht="21.75" customHeight="1" x14ac:dyDescent="0.25">
      <c r="B9" s="92" t="s">
        <v>122</v>
      </c>
      <c r="C9" s="93">
        <v>40</v>
      </c>
      <c r="D9" s="94">
        <v>32</v>
      </c>
      <c r="E9" s="96" t="s">
        <v>309</v>
      </c>
      <c r="F9" s="11" t="s">
        <v>311</v>
      </c>
    </row>
    <row r="10" spans="2:6" ht="21.75" customHeight="1" x14ac:dyDescent="0.25">
      <c r="B10" s="92" t="s">
        <v>312</v>
      </c>
      <c r="C10" s="93">
        <v>40</v>
      </c>
      <c r="D10" s="94">
        <v>32</v>
      </c>
      <c r="E10" s="96" t="s">
        <v>309</v>
      </c>
      <c r="F10" s="11" t="s">
        <v>313</v>
      </c>
    </row>
    <row r="11" spans="2:6" ht="21.75" customHeight="1" x14ac:dyDescent="0.25">
      <c r="B11" s="92" t="s">
        <v>314</v>
      </c>
      <c r="C11" s="93">
        <v>45</v>
      </c>
      <c r="D11" s="94">
        <v>32</v>
      </c>
      <c r="E11" s="96" t="s">
        <v>309</v>
      </c>
      <c r="F11" s="11" t="s">
        <v>315</v>
      </c>
    </row>
    <row r="12" spans="2:6" ht="21.75" customHeight="1" x14ac:dyDescent="0.25">
      <c r="B12" s="92" t="s">
        <v>316</v>
      </c>
      <c r="C12" s="93">
        <v>45</v>
      </c>
      <c r="D12" s="94">
        <v>64</v>
      </c>
      <c r="E12" s="96" t="s">
        <v>309</v>
      </c>
      <c r="F12" s="11" t="s">
        <v>309</v>
      </c>
    </row>
    <row r="13" spans="2:6" ht="21.75" customHeight="1" x14ac:dyDescent="0.25">
      <c r="B13" s="92" t="s">
        <v>317</v>
      </c>
      <c r="C13" s="93">
        <v>45</v>
      </c>
      <c r="D13" s="94">
        <v>90</v>
      </c>
      <c r="E13" s="96" t="s">
        <v>309</v>
      </c>
      <c r="F13" s="11" t="s">
        <v>318</v>
      </c>
    </row>
    <row r="14" spans="2:6" ht="21.75" customHeight="1" x14ac:dyDescent="0.25">
      <c r="B14" s="92" t="s">
        <v>319</v>
      </c>
      <c r="C14" s="93">
        <v>45</v>
      </c>
      <c r="D14" s="94">
        <v>120</v>
      </c>
      <c r="E14" s="95" t="s">
        <v>305</v>
      </c>
      <c r="F14" s="11" t="s">
        <v>305</v>
      </c>
    </row>
    <row r="15" spans="2:6" ht="21.75" customHeight="1" x14ac:dyDescent="0.25">
      <c r="B15" s="92" t="s">
        <v>320</v>
      </c>
      <c r="C15" s="93">
        <v>45</v>
      </c>
      <c r="D15" s="94">
        <v>150</v>
      </c>
      <c r="E15" s="95" t="s">
        <v>305</v>
      </c>
      <c r="F15" s="11" t="s">
        <v>321</v>
      </c>
    </row>
    <row r="16" spans="2:6" ht="21.75" customHeight="1" x14ac:dyDescent="0.25">
      <c r="B16" s="92" t="s">
        <v>322</v>
      </c>
      <c r="C16" s="93">
        <v>45</v>
      </c>
      <c r="D16" s="94">
        <v>200</v>
      </c>
      <c r="E16" s="95" t="s">
        <v>305</v>
      </c>
      <c r="F16" s="11" t="s">
        <v>323</v>
      </c>
    </row>
    <row r="17" spans="2:6" ht="21.75" customHeight="1" x14ac:dyDescent="0.25">
      <c r="B17" s="92" t="s">
        <v>324</v>
      </c>
      <c r="C17" s="93">
        <v>45</v>
      </c>
      <c r="D17" s="94">
        <v>250</v>
      </c>
      <c r="E17" s="95" t="s">
        <v>305</v>
      </c>
      <c r="F17" s="11" t="s">
        <v>325</v>
      </c>
    </row>
    <row r="18" spans="2:6" ht="24" customHeight="1" x14ac:dyDescent="0.25">
      <c r="B18" s="92" t="s">
        <v>326</v>
      </c>
      <c r="C18" s="97"/>
      <c r="D18" s="97"/>
      <c r="E18" s="97"/>
      <c r="F18" s="98" t="s">
        <v>327</v>
      </c>
    </row>
    <row r="20" spans="2:6" ht="15" customHeight="1" x14ac:dyDescent="0.25">
      <c r="B20" s="23" t="s">
        <v>328</v>
      </c>
    </row>
    <row r="21" spans="2:6" ht="15" customHeight="1" x14ac:dyDescent="0.25">
      <c r="B21" s="61"/>
      <c r="C21" s="134" t="s">
        <v>329</v>
      </c>
      <c r="D21" s="134"/>
      <c r="E21" s="134"/>
      <c r="F21" s="134"/>
    </row>
    <row r="22" spans="2:6" ht="15" customHeight="1" x14ac:dyDescent="0.25">
      <c r="B22" s="62"/>
      <c r="C22" s="134" t="s">
        <v>330</v>
      </c>
      <c r="D22" s="134"/>
      <c r="E22" s="134"/>
      <c r="F22" s="134"/>
    </row>
  </sheetData>
  <mergeCells count="4">
    <mergeCell ref="B1:F1"/>
    <mergeCell ref="B3:F3"/>
    <mergeCell ref="C21:F21"/>
    <mergeCell ref="C22:F22"/>
  </mergeCells>
  <dataValidations count="1">
    <dataValidation type="list" allowBlank="1" sqref="E6:E27" xr:uid="{00000000-0002-0000-0500-000000000000}">
      <formula1>"Bærelag,Bundsikring"</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7"/>
  <sheetViews>
    <sheetView zoomScale="85" zoomScaleNormal="85" workbookViewId="0">
      <selection activeCell="F20" sqref="F20"/>
    </sheetView>
  </sheetViews>
  <sheetFormatPr defaultColWidth="8.7109375" defaultRowHeight="15" x14ac:dyDescent="0.25"/>
  <cols>
    <col min="1" max="1" width="2" style="7" customWidth="1"/>
    <col min="2" max="2" width="28" style="7" customWidth="1"/>
    <col min="3" max="3" width="12" style="7" customWidth="1"/>
    <col min="4" max="5" width="14" style="7" customWidth="1"/>
    <col min="6" max="6" width="16" style="7" customWidth="1"/>
    <col min="7" max="7" width="12" style="7" customWidth="1"/>
    <col min="8" max="8" width="14" style="7" customWidth="1"/>
    <col min="9" max="9" width="13" style="7" customWidth="1"/>
    <col min="10" max="10" width="35" style="7" customWidth="1"/>
    <col min="11" max="11" width="12.140625" style="7" bestFit="1" customWidth="1"/>
    <col min="12" max="16384" width="8.7109375" style="7"/>
  </cols>
  <sheetData>
    <row r="1" spans="2:17" ht="27.75" customHeight="1" x14ac:dyDescent="0.25">
      <c r="B1" s="129" t="s">
        <v>331</v>
      </c>
      <c r="C1" s="129"/>
      <c r="D1" s="129"/>
      <c r="E1" s="129"/>
      <c r="F1" s="129"/>
      <c r="G1" s="129"/>
      <c r="H1" s="129"/>
      <c r="I1" s="129"/>
      <c r="J1" s="129"/>
    </row>
    <row r="3" spans="2:17" ht="42.75" customHeight="1" x14ac:dyDescent="0.25">
      <c r="B3" s="130" t="s">
        <v>332</v>
      </c>
      <c r="C3" s="130"/>
      <c r="D3" s="130"/>
      <c r="E3" s="130"/>
      <c r="F3" s="130"/>
      <c r="G3" s="130"/>
      <c r="H3" s="130"/>
      <c r="I3" s="130"/>
      <c r="J3" s="130"/>
    </row>
    <row r="4" spans="2:17" ht="18" customHeight="1" x14ac:dyDescent="0.25">
      <c r="L4" s="131" t="s">
        <v>568</v>
      </c>
      <c r="M4" s="132"/>
      <c r="N4" s="132"/>
      <c r="O4" s="132"/>
      <c r="P4" s="132"/>
      <c r="Q4" s="133"/>
    </row>
    <row r="5" spans="2:17" ht="30" customHeight="1" x14ac:dyDescent="0.25">
      <c r="B5" s="33" t="s">
        <v>273</v>
      </c>
      <c r="C5" s="33" t="s">
        <v>333</v>
      </c>
      <c r="D5" s="33" t="s">
        <v>334</v>
      </c>
      <c r="E5" s="33" t="s">
        <v>335</v>
      </c>
      <c r="F5" s="33" t="s">
        <v>336</v>
      </c>
      <c r="G5" s="33" t="s">
        <v>303</v>
      </c>
      <c r="H5" s="33" t="s">
        <v>337</v>
      </c>
      <c r="I5" s="33" t="s">
        <v>338</v>
      </c>
      <c r="J5" s="33" t="s">
        <v>339</v>
      </c>
      <c r="K5" s="33" t="s">
        <v>340</v>
      </c>
      <c r="L5" s="33">
        <v>1</v>
      </c>
      <c r="M5" s="33">
        <v>2</v>
      </c>
      <c r="N5" s="33">
        <v>3</v>
      </c>
      <c r="O5" s="33">
        <v>4</v>
      </c>
      <c r="P5" s="33">
        <v>5</v>
      </c>
      <c r="Q5" s="33">
        <v>6</v>
      </c>
    </row>
    <row r="6" spans="2:17" ht="21.75" customHeight="1" x14ac:dyDescent="0.25">
      <c r="B6" s="92" t="s">
        <v>274</v>
      </c>
      <c r="C6" s="12" t="s">
        <v>341</v>
      </c>
      <c r="D6" s="12" t="s">
        <v>342</v>
      </c>
      <c r="E6" s="83">
        <v>0.1</v>
      </c>
      <c r="F6" s="12" t="s">
        <v>569</v>
      </c>
      <c r="G6" s="12" t="s">
        <v>569</v>
      </c>
      <c r="H6" s="12">
        <v>20</v>
      </c>
      <c r="I6" s="12" t="s">
        <v>569</v>
      </c>
      <c r="J6" s="85" t="s">
        <v>275</v>
      </c>
      <c r="K6" s="12" t="s">
        <v>569</v>
      </c>
      <c r="L6" s="12" t="str" cm="1">
        <f t="array" ref="L6">IF(OR($B6="Anden armering",$B6=""),"",IF(_xlfn.IFS(
$B6="Tensar TriAx TX150",AND(L$5&gt;=1,L$5&lt;=4),
$B6="Tensar TriAx TX160",AND(L$5&gt;=3,L$5&lt;=6),
$B6="Tensar InterAx NX750",AND(L$5&gt;=5,L$5&lt;=6),
$B6="Tensar InterAx NX850",AND(L$5&gt;=5,L$5&lt;=6),
$B6="Tensar HX5.5",AND(L$5&gt;=1,L$5&lt;=5),
$B6="Tensar SS30",AND(L$5&gt;=3,L$5&lt;=5),
$B6="Tensar HX165",AND(L$5&gt;=4,L$5&lt;=6),
OR($B6="GS-GRID B20/20",$B6="GS-GRID B20/20L"),AND(L$5&gt;=1,L$5&lt;=3),
OR($B6="GS-GRID B30/30",$B6="GS-GRID B30/30L"),AND(L$5&gt;=3,L$5&lt;=5),
OR($B6="GS-GRID SX160",$B6="E'GRID T6"),AND(L$5&gt;=3,L$5&lt;=6),
OR($B6="GS-GRID B30/30XL",$B6="GS-GRID B40/40",$B6="GS-GRID B40/40L"),AND(L$5&gt;=4,L$5&lt;=6),
OR($B6="GS-GRID SX170",$B6="E'GRID T7"),AND(L$5&gt;=4,L$5&lt;=6),
$B6="E'GRID T9L",AND(L$5&gt;=4,L$5&lt;=6),
TRUE,FALSE
),"x","") )</f>
        <v/>
      </c>
      <c r="M6" s="12" t="str" cm="1">
        <f t="array" ref="M6">IF(OR($B6="Anden armering",$B6=""),"",IF(_xlfn.IFS(
$B6="Tensar TriAx TX150",AND(M$5&gt;=1,M$5&lt;=4),
$B6="Tensar TriAx TX160",AND(M$5&gt;=3,M$5&lt;=6),
$B6="Tensar InterAx NX750",AND(M$5&gt;=5,M$5&lt;=6),
$B6="Tensar InterAx NX850",AND(M$5&gt;=5,M$5&lt;=6),
$B6="Tensar HX5.5",AND(M$5&gt;=1,M$5&lt;=5),
$B6="Tensar SS30",AND(M$5&gt;=3,M$5&lt;=5),
$B6="Tensar HX165",AND(M$5&gt;=4,M$5&lt;=6),
OR($B6="GS-GRID B20/20",$B6="GS-GRID B20/20L"),AND(M$5&gt;=1,M$5&lt;=3),
OR($B6="GS-GRID B30/30",$B6="GS-GRID B30/30L"),AND(M$5&gt;=3,M$5&lt;=5),
OR($B6="GS-GRID SX160",$B6="E'GRID T6"),AND(M$5&gt;=3,M$5&lt;=6),
OR($B6="GS-GRID B30/30XL",$B6="GS-GRID B40/40",$B6="GS-GRID B40/40L"),AND(M$5&gt;=4,M$5&lt;=6),
OR($B6="GS-GRID SX170",$B6="E'GRID T7"),AND(M$5&gt;=4,M$5&lt;=6),
$B6="E'GRID T9L",AND(M$5&gt;=4,M$5&lt;=6),
TRUE,FALSE
),"x","") )</f>
        <v/>
      </c>
      <c r="N6" s="12" t="str" cm="1">
        <f t="array" ref="N6">IF(OR($B6="Anden armering",$B6=""),"",IF(_xlfn.IFS(
$B6="Tensar TriAx TX150",AND(N$5&gt;=1,N$5&lt;=4),
$B6="Tensar TriAx TX160",AND(N$5&gt;=3,N$5&lt;=6),
$B6="Tensar InterAx NX750",AND(N$5&gt;=5,N$5&lt;=6),
$B6="Tensar InterAx NX850",AND(N$5&gt;=5,N$5&lt;=6),
$B6="Tensar HX5.5",AND(N$5&gt;=1,N$5&lt;=5),
$B6="Tensar SS30",AND(N$5&gt;=3,N$5&lt;=5),
$B6="Tensar HX165",AND(N$5&gt;=4,N$5&lt;=6),
OR($B6="GS-GRID B20/20",$B6="GS-GRID B20/20L"),AND(N$5&gt;=1,N$5&lt;=3),
OR($B6="GS-GRID B30/30",$B6="GS-GRID B30/30L"),AND(N$5&gt;=3,N$5&lt;=5),
OR($B6="GS-GRID SX160",$B6="E'GRID T6"),AND(N$5&gt;=3,N$5&lt;=6),
OR($B6="GS-GRID B30/30XL",$B6="GS-GRID B40/40",$B6="GS-GRID B40/40L"),AND(N$5&gt;=4,N$5&lt;=6),
OR($B6="GS-GRID SX170",$B6="E'GRID T7"),AND(N$5&gt;=4,N$5&lt;=6),
$B6="E'GRID T9L",AND(N$5&gt;=4,N$5&lt;=6),
TRUE,FALSE
),"x","") )</f>
        <v>x</v>
      </c>
      <c r="O6" s="12" t="str" cm="1">
        <f t="array" ref="O6">IF(OR($B6="Anden armering",$B6=""),"",IF(_xlfn.IFS(
$B6="Tensar TriAx TX150",AND(O$5&gt;=1,O$5&lt;=4),
$B6="Tensar TriAx TX160",AND(O$5&gt;=3,O$5&lt;=6),
$B6="Tensar InterAx NX750",AND(O$5&gt;=5,O$5&lt;=6),
$B6="Tensar InterAx NX850",AND(O$5&gt;=5,O$5&lt;=6),
$B6="Tensar HX5.5",AND(O$5&gt;=1,O$5&lt;=5),
$B6="Tensar SS30",AND(O$5&gt;=3,O$5&lt;=5),
$B6="Tensar HX165",AND(O$5&gt;=4,O$5&lt;=6),
OR($B6="GS-GRID B20/20",$B6="GS-GRID B20/20L"),AND(O$5&gt;=1,O$5&lt;=3),
OR($B6="GS-GRID B30/30",$B6="GS-GRID B30/30L"),AND(O$5&gt;=3,O$5&lt;=5),
OR($B6="GS-GRID SX160",$B6="E'GRID T6"),AND(O$5&gt;=3,O$5&lt;=6),
OR($B6="GS-GRID B30/30XL",$B6="GS-GRID B40/40",$B6="GS-GRID B40/40L"),AND(O$5&gt;=4,O$5&lt;=6),
OR($B6="GS-GRID SX170",$B6="E'GRID T7"),AND(O$5&gt;=4,O$5&lt;=6),
$B6="E'GRID T9L",AND(O$5&gt;=4,O$5&lt;=6),
TRUE,FALSE
),"x","") )</f>
        <v>x</v>
      </c>
      <c r="P6" s="12" t="str" cm="1">
        <f t="array" ref="P6">IF(OR($B6="Anden armering",$B6=""),"",IF(_xlfn.IFS(
$B6="Tensar TriAx TX150",AND(P$5&gt;=1,P$5&lt;=4),
$B6="Tensar TriAx TX160",AND(P$5&gt;=3,P$5&lt;=6),
$B6="Tensar InterAx NX750",AND(P$5&gt;=5,P$5&lt;=6),
$B6="Tensar InterAx NX850",AND(P$5&gt;=5,P$5&lt;=6),
$B6="Tensar HX5.5",AND(P$5&gt;=1,P$5&lt;=5),
$B6="Tensar SS30",AND(P$5&gt;=3,P$5&lt;=5),
$B6="Tensar HX165",AND(P$5&gt;=4,P$5&lt;=6),
OR($B6="GS-GRID B20/20",$B6="GS-GRID B20/20L"),AND(P$5&gt;=1,P$5&lt;=3),
OR($B6="GS-GRID B30/30",$B6="GS-GRID B30/30L"),AND(P$5&gt;=3,P$5&lt;=5),
OR($B6="GS-GRID SX160",$B6="E'GRID T6"),AND(P$5&gt;=3,P$5&lt;=6),
OR($B6="GS-GRID B30/30XL",$B6="GS-GRID B40/40",$B6="GS-GRID B40/40L"),AND(P$5&gt;=4,P$5&lt;=6),
OR($B6="GS-GRID SX170",$B6="E'GRID T7"),AND(P$5&gt;=4,P$5&lt;=6),
$B6="E'GRID T9L",AND(P$5&gt;=4,P$5&lt;=6),
TRUE,FALSE
),"x","") )</f>
        <v>x</v>
      </c>
      <c r="Q6" s="12" t="str" cm="1">
        <f t="array" ref="Q6">IF(OR($B6="Anden armering",$B6=""),"",IF(_xlfn.IFS(
$B6="Tensar TriAx TX150",AND(Q$5&gt;=1,Q$5&lt;=4),
$B6="Tensar TriAx TX160",AND(Q$5&gt;=3,Q$5&lt;=6),
$B6="Tensar InterAx NX750",AND(Q$5&gt;=5,Q$5&lt;=6),
$B6="Tensar InterAx NX850",AND(Q$5&gt;=5,Q$5&lt;=6),
$B6="Tensar HX5.5",AND(Q$5&gt;=1,Q$5&lt;=5),
$B6="Tensar SS30",AND(Q$5&gt;=3,Q$5&lt;=5),
$B6="Tensar HX165",AND(Q$5&gt;=4,Q$5&lt;=6),
OR($B6="GS-GRID B20/20",$B6="GS-GRID B20/20L"),AND(Q$5&gt;=1,Q$5&lt;=3),
OR($B6="GS-GRID B30/30",$B6="GS-GRID B30/30L"),AND(Q$5&gt;=3,Q$5&lt;=5),
OR($B6="GS-GRID SX160",$B6="E'GRID T6"),AND(Q$5&gt;=3,Q$5&lt;=6),
OR($B6="GS-GRID B30/30XL",$B6="GS-GRID B40/40",$B6="GS-GRID B40/40L"),AND(Q$5&gt;=4,Q$5&lt;=6),
OR($B6="GS-GRID SX170",$B6="E'GRID T7"),AND(Q$5&gt;=4,Q$5&lt;=6),
$B6="E'GRID T9L",AND(Q$5&gt;=4,Q$5&lt;=6),
TRUE,FALSE
),"x","") )</f>
        <v/>
      </c>
    </row>
    <row r="7" spans="2:17" ht="21.75" customHeight="1" x14ac:dyDescent="0.25">
      <c r="B7" s="92" t="s">
        <v>276</v>
      </c>
      <c r="C7" s="12" t="s">
        <v>341</v>
      </c>
      <c r="D7" s="12" t="s">
        <v>343</v>
      </c>
      <c r="E7" s="83">
        <v>0.1</v>
      </c>
      <c r="F7" s="12" t="s">
        <v>569</v>
      </c>
      <c r="G7" s="12" t="s">
        <v>569</v>
      </c>
      <c r="H7" s="12">
        <v>20</v>
      </c>
      <c r="I7" s="12" t="s">
        <v>569</v>
      </c>
      <c r="J7" s="85" t="s">
        <v>275</v>
      </c>
      <c r="K7" s="12" t="s">
        <v>569</v>
      </c>
      <c r="L7" s="12" t="str" cm="1">
        <f t="array" ref="L7">IF(OR($B7="Anden armering",$B7=""),"",IF(_xlfn.IFS(
$B7="Tensar TriAx TX150",AND(L$5&gt;=1,L$5&lt;=4),
$B7="Tensar TriAx TX160",AND(L$5&gt;=3,L$5&lt;=6),
$B7="Tensar InterAx NX750",AND(L$5&gt;=5,L$5&lt;=6),
$B7="Tensar InterAx NX850",AND(L$5&gt;=5,L$5&lt;=6),
$B7="Tensar HX5.5",AND(L$5&gt;=1,L$5&lt;=5),
$B7="Tensar SS30",AND(L$5&gt;=3,L$5&lt;=5),
$B7="Tensar HX165",AND(L$5&gt;=4,L$5&lt;=6),
OR($B7="GS-GRID B20/20",$B7="GS-GRID B20/20L"),AND(L$5&gt;=1,L$5&lt;=3),
OR($B7="GS-GRID B30/30",$B7="GS-GRID B30/30L"),AND(L$5&gt;=3,L$5&lt;=5),
OR($B7="GS-GRID SX160",$B7="E'GRID T6"),AND(L$5&gt;=3,L$5&lt;=6),
OR($B7="GS-GRID B30/30XL",$B7="GS-GRID B40/40",$B7="GS-GRID B40/40L"),AND(L$5&gt;=4,L$5&lt;=6),
OR($B7="GS-GRID SX170",$B7="E'GRID T7"),AND(L$5&gt;=4,L$5&lt;=6),
$B7="E'GRID T9L",AND(L$5&gt;=4,L$5&lt;=6),
TRUE,FALSE
),"x","") )</f>
        <v>x</v>
      </c>
      <c r="M7" s="12" t="str" cm="1">
        <f t="array" ref="M7">IF(OR($B7="Anden armering",$B7=""),"",IF(_xlfn.IFS(
$B7="Tensar TriAx TX150",AND(M$5&gt;=1,M$5&lt;=4),
$B7="Tensar TriAx TX160",AND(M$5&gt;=3,M$5&lt;=6),
$B7="Tensar InterAx NX750",AND(M$5&gt;=5,M$5&lt;=6),
$B7="Tensar InterAx NX850",AND(M$5&gt;=5,M$5&lt;=6),
$B7="Tensar HX5.5",AND(M$5&gt;=1,M$5&lt;=5),
$B7="Tensar SS30",AND(M$5&gt;=3,M$5&lt;=5),
$B7="Tensar HX165",AND(M$5&gt;=4,M$5&lt;=6),
OR($B7="GS-GRID B20/20",$B7="GS-GRID B20/20L"),AND(M$5&gt;=1,M$5&lt;=3),
OR($B7="GS-GRID B30/30",$B7="GS-GRID B30/30L"),AND(M$5&gt;=3,M$5&lt;=5),
OR($B7="GS-GRID SX160",$B7="E'GRID T6"),AND(M$5&gt;=3,M$5&lt;=6),
OR($B7="GS-GRID B30/30XL",$B7="GS-GRID B40/40",$B7="GS-GRID B40/40L"),AND(M$5&gt;=4,M$5&lt;=6),
OR($B7="GS-GRID SX170",$B7="E'GRID T7"),AND(M$5&gt;=4,M$5&lt;=6),
$B7="E'GRID T9L",AND(M$5&gt;=4,M$5&lt;=6),
TRUE,FALSE
),"x","") )</f>
        <v>x</v>
      </c>
      <c r="N7" s="12" t="str" cm="1">
        <f t="array" ref="N7">IF(OR($B7="Anden armering",$B7=""),"",IF(_xlfn.IFS(
$B7="Tensar TriAx TX150",AND(N$5&gt;=1,N$5&lt;=4),
$B7="Tensar TriAx TX160",AND(N$5&gt;=3,N$5&lt;=6),
$B7="Tensar InterAx NX750",AND(N$5&gt;=5,N$5&lt;=6),
$B7="Tensar InterAx NX850",AND(N$5&gt;=5,N$5&lt;=6),
$B7="Tensar HX5.5",AND(N$5&gt;=1,N$5&lt;=5),
$B7="Tensar SS30",AND(N$5&gt;=3,N$5&lt;=5),
$B7="Tensar HX165",AND(N$5&gt;=4,N$5&lt;=6),
OR($B7="GS-GRID B20/20",$B7="GS-GRID B20/20L"),AND(N$5&gt;=1,N$5&lt;=3),
OR($B7="GS-GRID B30/30",$B7="GS-GRID B30/30L"),AND(N$5&gt;=3,N$5&lt;=5),
OR($B7="GS-GRID SX160",$B7="E'GRID T6"),AND(N$5&gt;=3,N$5&lt;=6),
OR($B7="GS-GRID B30/30XL",$B7="GS-GRID B40/40",$B7="GS-GRID B40/40L"),AND(N$5&gt;=4,N$5&lt;=6),
OR($B7="GS-GRID SX170",$B7="E'GRID T7"),AND(N$5&gt;=4,N$5&lt;=6),
$B7="E'GRID T9L",AND(N$5&gt;=4,N$5&lt;=6),
TRUE,FALSE
),"x","") )</f>
        <v>x</v>
      </c>
      <c r="O7" s="12" t="str" cm="1">
        <f t="array" ref="O7">IF(OR($B7="Anden armering",$B7=""),"",IF(_xlfn.IFS(
$B7="Tensar TriAx TX150",AND(O$5&gt;=1,O$5&lt;=4),
$B7="Tensar TriAx TX160",AND(O$5&gt;=3,O$5&lt;=6),
$B7="Tensar InterAx NX750",AND(O$5&gt;=5,O$5&lt;=6),
$B7="Tensar InterAx NX850",AND(O$5&gt;=5,O$5&lt;=6),
$B7="Tensar HX5.5",AND(O$5&gt;=1,O$5&lt;=5),
$B7="Tensar SS30",AND(O$5&gt;=3,O$5&lt;=5),
$B7="Tensar HX165",AND(O$5&gt;=4,O$5&lt;=6),
OR($B7="GS-GRID B20/20",$B7="GS-GRID B20/20L"),AND(O$5&gt;=1,O$5&lt;=3),
OR($B7="GS-GRID B30/30",$B7="GS-GRID B30/30L"),AND(O$5&gt;=3,O$5&lt;=5),
OR($B7="GS-GRID SX160",$B7="E'GRID T6"),AND(O$5&gt;=3,O$5&lt;=6),
OR($B7="GS-GRID B30/30XL",$B7="GS-GRID B40/40",$B7="GS-GRID B40/40L"),AND(O$5&gt;=4,O$5&lt;=6),
OR($B7="GS-GRID SX170",$B7="E'GRID T7"),AND(O$5&gt;=4,O$5&lt;=6),
$B7="E'GRID T9L",AND(O$5&gt;=4,O$5&lt;=6),
TRUE,FALSE
),"x","") )</f>
        <v>x</v>
      </c>
      <c r="P7" s="12" t="str" cm="1">
        <f t="array" ref="P7">IF(OR($B7="Anden armering",$B7=""),"",IF(_xlfn.IFS(
$B7="Tensar TriAx TX150",AND(P$5&gt;=1,P$5&lt;=4),
$B7="Tensar TriAx TX160",AND(P$5&gt;=3,P$5&lt;=6),
$B7="Tensar InterAx NX750",AND(P$5&gt;=5,P$5&lt;=6),
$B7="Tensar InterAx NX850",AND(P$5&gt;=5,P$5&lt;=6),
$B7="Tensar HX5.5",AND(P$5&gt;=1,P$5&lt;=5),
$B7="Tensar SS30",AND(P$5&gt;=3,P$5&lt;=5),
$B7="Tensar HX165",AND(P$5&gt;=4,P$5&lt;=6),
OR($B7="GS-GRID B20/20",$B7="GS-GRID B20/20L"),AND(P$5&gt;=1,P$5&lt;=3),
OR($B7="GS-GRID B30/30",$B7="GS-GRID B30/30L"),AND(P$5&gt;=3,P$5&lt;=5),
OR($B7="GS-GRID SX160",$B7="E'GRID T6"),AND(P$5&gt;=3,P$5&lt;=6),
OR($B7="GS-GRID B30/30XL",$B7="GS-GRID B40/40",$B7="GS-GRID B40/40L"),AND(P$5&gt;=4,P$5&lt;=6),
OR($B7="GS-GRID SX170",$B7="E'GRID T7"),AND(P$5&gt;=4,P$5&lt;=6),
$B7="E'GRID T9L",AND(P$5&gt;=4,P$5&lt;=6),
TRUE,FALSE
),"x","") )</f>
        <v/>
      </c>
      <c r="Q7" s="12" t="str" cm="1">
        <f t="array" ref="Q7">IF(OR($B7="Anden armering",$B7=""),"",IF(_xlfn.IFS(
$B7="Tensar TriAx TX150",AND(Q$5&gt;=1,Q$5&lt;=4),
$B7="Tensar TriAx TX160",AND(Q$5&gt;=3,Q$5&lt;=6),
$B7="Tensar InterAx NX750",AND(Q$5&gt;=5,Q$5&lt;=6),
$B7="Tensar InterAx NX850",AND(Q$5&gt;=5,Q$5&lt;=6),
$B7="Tensar HX5.5",AND(Q$5&gt;=1,Q$5&lt;=5),
$B7="Tensar SS30",AND(Q$5&gt;=3,Q$5&lt;=5),
$B7="Tensar HX165",AND(Q$5&gt;=4,Q$5&lt;=6),
OR($B7="GS-GRID B20/20",$B7="GS-GRID B20/20L"),AND(Q$5&gt;=1,Q$5&lt;=3),
OR($B7="GS-GRID B30/30",$B7="GS-GRID B30/30L"),AND(Q$5&gt;=3,Q$5&lt;=5),
OR($B7="GS-GRID SX160",$B7="E'GRID T6"),AND(Q$5&gt;=3,Q$5&lt;=6),
OR($B7="GS-GRID B30/30XL",$B7="GS-GRID B40/40",$B7="GS-GRID B40/40L"),AND(Q$5&gt;=4,Q$5&lt;=6),
OR($B7="GS-GRID SX170",$B7="E'GRID T7"),AND(Q$5&gt;=4,Q$5&lt;=6),
$B7="E'GRID T9L",AND(Q$5&gt;=4,Q$5&lt;=6),
TRUE,FALSE
),"x","") )</f>
        <v/>
      </c>
    </row>
    <row r="8" spans="2:17" ht="21.75" customHeight="1" x14ac:dyDescent="0.25">
      <c r="B8" s="92" t="s">
        <v>277</v>
      </c>
      <c r="C8" s="12" t="s">
        <v>341</v>
      </c>
      <c r="D8" s="12" t="s">
        <v>344</v>
      </c>
      <c r="E8" s="83">
        <v>0.05</v>
      </c>
      <c r="F8" s="12" t="s">
        <v>569</v>
      </c>
      <c r="G8" s="12" t="s">
        <v>569</v>
      </c>
      <c r="H8" s="12">
        <v>20</v>
      </c>
      <c r="I8" s="12" t="s">
        <v>569</v>
      </c>
      <c r="J8" s="85" t="s">
        <v>278</v>
      </c>
      <c r="K8" s="12" t="s">
        <v>569</v>
      </c>
      <c r="L8" s="12" t="str" cm="1">
        <f t="array" ref="L8">IF(OR($B8="Anden armering",$B8=""),"",IF(_xlfn.IFS(
$B8="Tensar TriAx TX150",AND(L$5&gt;=1,L$5&lt;=4),
$B8="Tensar TriAx TX160",AND(L$5&gt;=3,L$5&lt;=6),
$B8="Tensar InterAx NX750",AND(L$5&gt;=5,L$5&lt;=6),
$B8="Tensar InterAx NX850",AND(L$5&gt;=5,L$5&lt;=6),
$B8="Tensar HX5.5",AND(L$5&gt;=1,L$5&lt;=5),
$B8="Tensar SS30",AND(L$5&gt;=3,L$5&lt;=5),
$B8="Tensar HX165",AND(L$5&gt;=4,L$5&lt;=6),
OR($B8="GS-GRID B20/20",$B8="GS-GRID B20/20L"),AND(L$5&gt;=1,L$5&lt;=3),
OR($B8="GS-GRID B30/30",$B8="GS-GRID B30/30L"),AND(L$5&gt;=3,L$5&lt;=5),
OR($B8="GS-GRID SX160",$B8="E'GRID T6"),AND(L$5&gt;=3,L$5&lt;=6),
OR($B8="GS-GRID B30/30XL",$B8="GS-GRID B40/40",$B8="GS-GRID B40/40L"),AND(L$5&gt;=4,L$5&lt;=6),
OR($B8="GS-GRID SX170",$B8="E'GRID T7"),AND(L$5&gt;=4,L$5&lt;=6),
$B8="E'GRID T9L",AND(L$5&gt;=4,L$5&lt;=6),
TRUE,FALSE
),"x","") )</f>
        <v>x</v>
      </c>
      <c r="M8" s="12" t="str" cm="1">
        <f t="array" ref="M8">IF(OR($B8="Anden armering",$B8=""),"",IF(_xlfn.IFS(
$B8="Tensar TriAx TX150",AND(M$5&gt;=1,M$5&lt;=4),
$B8="Tensar TriAx TX160",AND(M$5&gt;=3,M$5&lt;=6),
$B8="Tensar InterAx NX750",AND(M$5&gt;=5,M$5&lt;=6),
$B8="Tensar InterAx NX850",AND(M$5&gt;=5,M$5&lt;=6),
$B8="Tensar HX5.5",AND(M$5&gt;=1,M$5&lt;=5),
$B8="Tensar SS30",AND(M$5&gt;=3,M$5&lt;=5),
$B8="Tensar HX165",AND(M$5&gt;=4,M$5&lt;=6),
OR($B8="GS-GRID B20/20",$B8="GS-GRID B20/20L"),AND(M$5&gt;=1,M$5&lt;=3),
OR($B8="GS-GRID B30/30",$B8="GS-GRID B30/30L"),AND(M$5&gt;=3,M$5&lt;=5),
OR($B8="GS-GRID SX160",$B8="E'GRID T6"),AND(M$5&gt;=3,M$5&lt;=6),
OR($B8="GS-GRID B30/30XL",$B8="GS-GRID B40/40",$B8="GS-GRID B40/40L"),AND(M$5&gt;=4,M$5&lt;=6),
OR($B8="GS-GRID SX170",$B8="E'GRID T7"),AND(M$5&gt;=4,M$5&lt;=6),
$B8="E'GRID T9L",AND(M$5&gt;=4,M$5&lt;=6),
TRUE,FALSE
),"x","") )</f>
        <v>x</v>
      </c>
      <c r="N8" s="12" t="str" cm="1">
        <f t="array" ref="N8">IF(OR($B8="Anden armering",$B8=""),"",IF(_xlfn.IFS(
$B8="Tensar TriAx TX150",AND(N$5&gt;=1,N$5&lt;=4),
$B8="Tensar TriAx TX160",AND(N$5&gt;=3,N$5&lt;=6),
$B8="Tensar InterAx NX750",AND(N$5&gt;=5,N$5&lt;=6),
$B8="Tensar InterAx NX850",AND(N$5&gt;=5,N$5&lt;=6),
$B8="Tensar HX5.5",AND(N$5&gt;=1,N$5&lt;=5),
$B8="Tensar SS30",AND(N$5&gt;=3,N$5&lt;=5),
$B8="Tensar HX165",AND(N$5&gt;=4,N$5&lt;=6),
OR($B8="GS-GRID B20/20",$B8="GS-GRID B20/20L"),AND(N$5&gt;=1,N$5&lt;=3),
OR($B8="GS-GRID B30/30",$B8="GS-GRID B30/30L"),AND(N$5&gt;=3,N$5&lt;=5),
OR($B8="GS-GRID SX160",$B8="E'GRID T6"),AND(N$5&gt;=3,N$5&lt;=6),
OR($B8="GS-GRID B30/30XL",$B8="GS-GRID B40/40",$B8="GS-GRID B40/40L"),AND(N$5&gt;=4,N$5&lt;=6),
OR($B8="GS-GRID SX170",$B8="E'GRID T7"),AND(N$5&gt;=4,N$5&lt;=6),
$B8="E'GRID T9L",AND(N$5&gt;=4,N$5&lt;=6),
TRUE,FALSE
),"x","") )</f>
        <v>x</v>
      </c>
      <c r="O8" s="12" t="str" cm="1">
        <f t="array" ref="O8">IF(OR($B8="Anden armering",$B8=""),"",IF(_xlfn.IFS(
$B8="Tensar TriAx TX150",AND(O$5&gt;=1,O$5&lt;=4),
$B8="Tensar TriAx TX160",AND(O$5&gt;=3,O$5&lt;=6),
$B8="Tensar InterAx NX750",AND(O$5&gt;=5,O$5&lt;=6),
$B8="Tensar InterAx NX850",AND(O$5&gt;=5,O$5&lt;=6),
$B8="Tensar HX5.5",AND(O$5&gt;=1,O$5&lt;=5),
$B8="Tensar SS30",AND(O$5&gt;=3,O$5&lt;=5),
$B8="Tensar HX165",AND(O$5&gt;=4,O$5&lt;=6),
OR($B8="GS-GRID B20/20",$B8="GS-GRID B20/20L"),AND(O$5&gt;=1,O$5&lt;=3),
OR($B8="GS-GRID B30/30",$B8="GS-GRID B30/30L"),AND(O$5&gt;=3,O$5&lt;=5),
OR($B8="GS-GRID SX160",$B8="E'GRID T6"),AND(O$5&gt;=3,O$5&lt;=6),
OR($B8="GS-GRID B30/30XL",$B8="GS-GRID B40/40",$B8="GS-GRID B40/40L"),AND(O$5&gt;=4,O$5&lt;=6),
OR($B8="GS-GRID SX170",$B8="E'GRID T7"),AND(O$5&gt;=4,O$5&lt;=6),
$B8="E'GRID T9L",AND(O$5&gt;=4,O$5&lt;=6),
TRUE,FALSE
),"x","") )</f>
        <v>x</v>
      </c>
      <c r="P8" s="12" t="str" cm="1">
        <f t="array" ref="P8">IF(OR($B8="Anden armering",$B8=""),"",IF(_xlfn.IFS(
$B8="Tensar TriAx TX150",AND(P$5&gt;=1,P$5&lt;=4),
$B8="Tensar TriAx TX160",AND(P$5&gt;=3,P$5&lt;=6),
$B8="Tensar InterAx NX750",AND(P$5&gt;=5,P$5&lt;=6),
$B8="Tensar InterAx NX850",AND(P$5&gt;=5,P$5&lt;=6),
$B8="Tensar HX5.5",AND(P$5&gt;=1,P$5&lt;=5),
$B8="Tensar SS30",AND(P$5&gt;=3,P$5&lt;=5),
$B8="Tensar HX165",AND(P$5&gt;=4,P$5&lt;=6),
OR($B8="GS-GRID B20/20",$B8="GS-GRID B20/20L"),AND(P$5&gt;=1,P$5&lt;=3),
OR($B8="GS-GRID B30/30",$B8="GS-GRID B30/30L"),AND(P$5&gt;=3,P$5&lt;=5),
OR($B8="GS-GRID SX160",$B8="E'GRID T6"),AND(P$5&gt;=3,P$5&lt;=6),
OR($B8="GS-GRID B30/30XL",$B8="GS-GRID B40/40",$B8="GS-GRID B40/40L"),AND(P$5&gt;=4,P$5&lt;=6),
OR($B8="GS-GRID SX170",$B8="E'GRID T7"),AND(P$5&gt;=4,P$5&lt;=6),
$B8="E'GRID T9L",AND(P$5&gt;=4,P$5&lt;=6),
TRUE,FALSE
),"x","") )</f>
        <v>x</v>
      </c>
      <c r="Q8" s="12" t="str" cm="1">
        <f t="array" ref="Q8">IF(OR($B8="Anden armering",$B8=""),"",IF(_xlfn.IFS(
$B8="Tensar TriAx TX150",AND(Q$5&gt;=1,Q$5&lt;=4),
$B8="Tensar TriAx TX160",AND(Q$5&gt;=3,Q$5&lt;=6),
$B8="Tensar InterAx NX750",AND(Q$5&gt;=5,Q$5&lt;=6),
$B8="Tensar InterAx NX850",AND(Q$5&gt;=5,Q$5&lt;=6),
$B8="Tensar HX5.5",AND(Q$5&gt;=1,Q$5&lt;=5),
$B8="Tensar SS30",AND(Q$5&gt;=3,Q$5&lt;=5),
$B8="Tensar HX165",AND(Q$5&gt;=4,Q$5&lt;=6),
OR($B8="GS-GRID B20/20",$B8="GS-GRID B20/20L"),AND(Q$5&gt;=1,Q$5&lt;=3),
OR($B8="GS-GRID B30/30",$B8="GS-GRID B30/30L"),AND(Q$5&gt;=3,Q$5&lt;=5),
OR($B8="GS-GRID SX160",$B8="E'GRID T6"),AND(Q$5&gt;=3,Q$5&lt;=6),
OR($B8="GS-GRID B30/30XL",$B8="GS-GRID B40/40",$B8="GS-GRID B40/40L"),AND(Q$5&gt;=4,Q$5&lt;=6),
OR($B8="GS-GRID SX170",$B8="E'GRID T7"),AND(Q$5&gt;=4,Q$5&lt;=6),
$B8="E'GRID T9L",AND(Q$5&gt;=4,Q$5&lt;=6),
TRUE,FALSE
),"x","") )</f>
        <v/>
      </c>
    </row>
    <row r="9" spans="2:17" ht="21.75" customHeight="1" x14ac:dyDescent="0.25">
      <c r="B9" s="99" t="s">
        <v>279</v>
      </c>
      <c r="C9" s="100" t="s">
        <v>341</v>
      </c>
      <c r="D9" s="100" t="s">
        <v>343</v>
      </c>
      <c r="E9" s="101">
        <v>0</v>
      </c>
      <c r="F9" s="100" t="s">
        <v>345</v>
      </c>
      <c r="G9" s="100">
        <v>80</v>
      </c>
      <c r="H9" s="100">
        <v>20</v>
      </c>
      <c r="I9" s="100"/>
      <c r="J9" s="102" t="s">
        <v>346</v>
      </c>
      <c r="K9" s="13">
        <v>80</v>
      </c>
      <c r="L9" s="12" t="str" cm="1">
        <f t="array" ref="L9">IF(OR($B9="Anden armering",$B9=""),"",IF(_xlfn.IFS(
$B9="Tensar TriAx TX150",AND(L$5&gt;=1,L$5&lt;=4),
$B9="Tensar TriAx TX160",AND(L$5&gt;=3,L$5&lt;=6),
$B9="Tensar InterAx NX750",AND(L$5&gt;=5,L$5&lt;=6),
$B9="Tensar InterAx NX850",AND(L$5&gt;=5,L$5&lt;=6),
$B9="Tensar HX5.5",AND(L$5&gt;=1,L$5&lt;=5),
$B9="Tensar SS30",AND(L$5&gt;=3,L$5&lt;=5),
$B9="Tensar HX165",AND(L$5&gt;=4,L$5&lt;=6),
OR($B9="GS-GRID B20/20",$B9="GS-GRID B20/20L"),AND(L$5&gt;=1,L$5&lt;=3),
OR($B9="GS-GRID B30/30",$B9="GS-GRID B30/30L"),AND(L$5&gt;=3,L$5&lt;=5),
OR($B9="GS-GRID SX160",$B9="E'GRID T6"),AND(L$5&gt;=3,L$5&lt;=6),
OR($B9="GS-GRID B30/30XL",$B9="GS-GRID B40/40",$B9="GS-GRID B40/40L"),AND(L$5&gt;=4,L$5&lt;=6),
OR($B9="GS-GRID SX170",$B9="E'GRID T7"),AND(L$5&gt;=4,L$5&lt;=6),
$B9="E'GRID T9L",AND(L$5&gt;=4,L$5&lt;=6),
TRUE,FALSE
),"x","") )</f>
        <v/>
      </c>
      <c r="M9" s="12" t="str" cm="1">
        <f t="array" ref="M9">IF(OR($B9="Anden armering",$B9=""),"",IF(_xlfn.IFS(
$B9="Tensar TriAx TX150",AND(M$5&gt;=1,M$5&lt;=4),
$B9="Tensar TriAx TX160",AND(M$5&gt;=3,M$5&lt;=6),
$B9="Tensar InterAx NX750",AND(M$5&gt;=5,M$5&lt;=6),
$B9="Tensar InterAx NX850",AND(M$5&gt;=5,M$5&lt;=6),
$B9="Tensar HX5.5",AND(M$5&gt;=1,M$5&lt;=5),
$B9="Tensar SS30",AND(M$5&gt;=3,M$5&lt;=5),
$B9="Tensar HX165",AND(M$5&gt;=4,M$5&lt;=6),
OR($B9="GS-GRID B20/20",$B9="GS-GRID B20/20L"),AND(M$5&gt;=1,M$5&lt;=3),
OR($B9="GS-GRID B30/30",$B9="GS-GRID B30/30L"),AND(M$5&gt;=3,M$5&lt;=5),
OR($B9="GS-GRID SX160",$B9="E'GRID T6"),AND(M$5&gt;=3,M$5&lt;=6),
OR($B9="GS-GRID B30/30XL",$B9="GS-GRID B40/40",$B9="GS-GRID B40/40L"),AND(M$5&gt;=4,M$5&lt;=6),
OR($B9="GS-GRID SX170",$B9="E'GRID T7"),AND(M$5&gt;=4,M$5&lt;=6),
$B9="E'GRID T9L",AND(M$5&gt;=4,M$5&lt;=6),
TRUE,FALSE
),"x","") )</f>
        <v/>
      </c>
      <c r="N9" s="12" t="str" cm="1">
        <f t="array" ref="N9">IF(OR($B9="Anden armering",$B9=""),"",IF(_xlfn.IFS(
$B9="Tensar TriAx TX150",AND(N$5&gt;=1,N$5&lt;=4),
$B9="Tensar TriAx TX160",AND(N$5&gt;=3,N$5&lt;=6),
$B9="Tensar InterAx NX750",AND(N$5&gt;=5,N$5&lt;=6),
$B9="Tensar InterAx NX850",AND(N$5&gt;=5,N$5&lt;=6),
$B9="Tensar HX5.5",AND(N$5&gt;=1,N$5&lt;=5),
$B9="Tensar SS30",AND(N$5&gt;=3,N$5&lt;=5),
$B9="Tensar HX165",AND(N$5&gt;=4,N$5&lt;=6),
OR($B9="GS-GRID B20/20",$B9="GS-GRID B20/20L"),AND(N$5&gt;=1,N$5&lt;=3),
OR($B9="GS-GRID B30/30",$B9="GS-GRID B30/30L"),AND(N$5&gt;=3,N$5&lt;=5),
OR($B9="GS-GRID SX160",$B9="E'GRID T6"),AND(N$5&gt;=3,N$5&lt;=6),
OR($B9="GS-GRID B30/30XL",$B9="GS-GRID B40/40",$B9="GS-GRID B40/40L"),AND(N$5&gt;=4,N$5&lt;=6),
OR($B9="GS-GRID SX170",$B9="E'GRID T7"),AND(N$5&gt;=4,N$5&lt;=6),
$B9="E'GRID T9L",AND(N$5&gt;=4,N$5&lt;=6),
TRUE,FALSE
),"x","") )</f>
        <v>x</v>
      </c>
      <c r="O9" s="12" t="str" cm="1">
        <f t="array" ref="O9">IF(OR($B9="Anden armering",$B9=""),"",IF(_xlfn.IFS(
$B9="Tensar TriAx TX150",AND(O$5&gt;=1,O$5&lt;=4),
$B9="Tensar TriAx TX160",AND(O$5&gt;=3,O$5&lt;=6),
$B9="Tensar InterAx NX750",AND(O$5&gt;=5,O$5&lt;=6),
$B9="Tensar InterAx NX850",AND(O$5&gt;=5,O$5&lt;=6),
$B9="Tensar HX5.5",AND(O$5&gt;=1,O$5&lt;=5),
$B9="Tensar SS30",AND(O$5&gt;=3,O$5&lt;=5),
$B9="Tensar HX165",AND(O$5&gt;=4,O$5&lt;=6),
OR($B9="GS-GRID B20/20",$B9="GS-GRID B20/20L"),AND(O$5&gt;=1,O$5&lt;=3),
OR($B9="GS-GRID B30/30",$B9="GS-GRID B30/30L"),AND(O$5&gt;=3,O$5&lt;=5),
OR($B9="GS-GRID SX160",$B9="E'GRID T6"),AND(O$5&gt;=3,O$5&lt;=6),
OR($B9="GS-GRID B30/30XL",$B9="GS-GRID B40/40",$B9="GS-GRID B40/40L"),AND(O$5&gt;=4,O$5&lt;=6),
OR($B9="GS-GRID SX170",$B9="E'GRID T7"),AND(O$5&gt;=4,O$5&lt;=6),
$B9="E'GRID T9L",AND(O$5&gt;=4,O$5&lt;=6),
TRUE,FALSE
),"x","") )</f>
        <v>x</v>
      </c>
      <c r="P9" s="12" t="str" cm="1">
        <f t="array" ref="P9">IF(OR($B9="Anden armering",$B9=""),"",IF(_xlfn.IFS(
$B9="Tensar TriAx TX150",AND(P$5&gt;=1,P$5&lt;=4),
$B9="Tensar TriAx TX160",AND(P$5&gt;=3,P$5&lt;=6),
$B9="Tensar InterAx NX750",AND(P$5&gt;=5,P$5&lt;=6),
$B9="Tensar InterAx NX850",AND(P$5&gt;=5,P$5&lt;=6),
$B9="Tensar HX5.5",AND(P$5&gt;=1,P$5&lt;=5),
$B9="Tensar SS30",AND(P$5&gt;=3,P$5&lt;=5),
$B9="Tensar HX165",AND(P$5&gt;=4,P$5&lt;=6),
OR($B9="GS-GRID B20/20",$B9="GS-GRID B20/20L"),AND(P$5&gt;=1,P$5&lt;=3),
OR($B9="GS-GRID B30/30",$B9="GS-GRID B30/30L"),AND(P$5&gt;=3,P$5&lt;=5),
OR($B9="GS-GRID SX160",$B9="E'GRID T6"),AND(P$5&gt;=3,P$5&lt;=6),
OR($B9="GS-GRID B30/30XL",$B9="GS-GRID B40/40",$B9="GS-GRID B40/40L"),AND(P$5&gt;=4,P$5&lt;=6),
OR($B9="GS-GRID SX170",$B9="E'GRID T7"),AND(P$5&gt;=4,P$5&lt;=6),
$B9="E'GRID T9L",AND(P$5&gt;=4,P$5&lt;=6),
TRUE,FALSE
),"x","") )</f>
        <v>x</v>
      </c>
      <c r="Q9" s="12" t="str" cm="1">
        <f t="array" ref="Q9">IF(OR($B9="Anden armering",$B9=""),"",IF(_xlfn.IFS(
$B9="Tensar TriAx TX150",AND(Q$5&gt;=1,Q$5&lt;=4),
$B9="Tensar TriAx TX160",AND(Q$5&gt;=3,Q$5&lt;=6),
$B9="Tensar InterAx NX750",AND(Q$5&gt;=5,Q$5&lt;=6),
$B9="Tensar InterAx NX850",AND(Q$5&gt;=5,Q$5&lt;=6),
$B9="Tensar HX5.5",AND(Q$5&gt;=1,Q$5&lt;=5),
$B9="Tensar SS30",AND(Q$5&gt;=3,Q$5&lt;=5),
$B9="Tensar HX165",AND(Q$5&gt;=4,Q$5&lt;=6),
OR($B9="GS-GRID B20/20",$B9="GS-GRID B20/20L"),AND(Q$5&gt;=1,Q$5&lt;=3),
OR($B9="GS-GRID B30/30",$B9="GS-GRID B30/30L"),AND(Q$5&gt;=3,Q$5&lt;=5),
OR($B9="GS-GRID SX160",$B9="E'GRID T6"),AND(Q$5&gt;=3,Q$5&lt;=6),
OR($B9="GS-GRID B30/30XL",$B9="GS-GRID B40/40",$B9="GS-GRID B40/40L"),AND(Q$5&gt;=4,Q$5&lt;=6),
OR($B9="GS-GRID SX170",$B9="E'GRID T7"),AND(Q$5&gt;=4,Q$5&lt;=6),
$B9="E'GRID T9L",AND(Q$5&gt;=4,Q$5&lt;=6),
TRUE,FALSE
),"x","") )</f>
        <v>x</v>
      </c>
    </row>
    <row r="10" spans="2:17" ht="21.75" customHeight="1" x14ac:dyDescent="0.25">
      <c r="B10" s="92" t="s">
        <v>281</v>
      </c>
      <c r="C10" s="12" t="s">
        <v>341</v>
      </c>
      <c r="D10" s="12" t="s">
        <v>344</v>
      </c>
      <c r="E10" s="83">
        <v>-0.05</v>
      </c>
      <c r="F10" s="12" t="s">
        <v>569</v>
      </c>
      <c r="G10" s="12" t="s">
        <v>569</v>
      </c>
      <c r="H10" s="12">
        <v>20</v>
      </c>
      <c r="I10" s="12" t="s">
        <v>569</v>
      </c>
      <c r="J10" s="85" t="s">
        <v>282</v>
      </c>
      <c r="K10" s="12" t="s">
        <v>569</v>
      </c>
      <c r="L10" s="12" t="str" cm="1">
        <f t="array" ref="L10">IF(OR($B10="Anden armering",$B10=""),"",IF(_xlfn.IFS(
$B10="Tensar TriAx TX150",AND(L$5&gt;=1,L$5&lt;=4),
$B10="Tensar TriAx TX160",AND(L$5&gt;=3,L$5&lt;=6),
$B10="Tensar InterAx NX750",AND(L$5&gt;=5,L$5&lt;=6),
$B10="Tensar InterAx NX850",AND(L$5&gt;=5,L$5&lt;=6),
$B10="Tensar HX5.5",AND(L$5&gt;=1,L$5&lt;=5),
$B10="Tensar SS30",AND(L$5&gt;=3,L$5&lt;=5),
$B10="Tensar HX165",AND(L$5&gt;=4,L$5&lt;=6),
OR($B10="GS-GRID B20/20",$B10="GS-GRID B20/20L"),AND(L$5&gt;=1,L$5&lt;=3),
OR($B10="GS-GRID B30/30",$B10="GS-GRID B30/30L"),AND(L$5&gt;=3,L$5&lt;=5),
OR($B10="GS-GRID SX160",$B10="E'GRID T6"),AND(L$5&gt;=3,L$5&lt;=6),
OR($B10="GS-GRID B30/30XL",$B10="GS-GRID B40/40",$B10="GS-GRID B40/40L"),AND(L$5&gt;=4,L$5&lt;=6),
OR($B10="GS-GRID SX170",$B10="E'GRID T7"),AND(L$5&gt;=4,L$5&lt;=6),
$B10="E'GRID T9L",AND(L$5&gt;=4,L$5&lt;=6),
TRUE,FALSE
),"x","") )</f>
        <v/>
      </c>
      <c r="M10" s="12" t="str" cm="1">
        <f t="array" ref="M10">IF(OR($B10="Anden armering",$B10=""),"",IF(_xlfn.IFS(
$B10="Tensar TriAx TX150",AND(M$5&gt;=1,M$5&lt;=4),
$B10="Tensar TriAx TX160",AND(M$5&gt;=3,M$5&lt;=6),
$B10="Tensar InterAx NX750",AND(M$5&gt;=5,M$5&lt;=6),
$B10="Tensar InterAx NX850",AND(M$5&gt;=5,M$5&lt;=6),
$B10="Tensar HX5.5",AND(M$5&gt;=1,M$5&lt;=5),
$B10="Tensar SS30",AND(M$5&gt;=3,M$5&lt;=5),
$B10="Tensar HX165",AND(M$5&gt;=4,M$5&lt;=6),
OR($B10="GS-GRID B20/20",$B10="GS-GRID B20/20L"),AND(M$5&gt;=1,M$5&lt;=3),
OR($B10="GS-GRID B30/30",$B10="GS-GRID B30/30L"),AND(M$5&gt;=3,M$5&lt;=5),
OR($B10="GS-GRID SX160",$B10="E'GRID T6"),AND(M$5&gt;=3,M$5&lt;=6),
OR($B10="GS-GRID B30/30XL",$B10="GS-GRID B40/40",$B10="GS-GRID B40/40L"),AND(M$5&gt;=4,M$5&lt;=6),
OR($B10="GS-GRID SX170",$B10="E'GRID T7"),AND(M$5&gt;=4,M$5&lt;=6),
$B10="E'GRID T9L",AND(M$5&gt;=4,M$5&lt;=6),
TRUE,FALSE
),"x","") )</f>
        <v/>
      </c>
      <c r="N10" s="12" t="str" cm="1">
        <f t="array" ref="N10">IF(OR($B10="Anden armering",$B10=""),"",IF(_xlfn.IFS(
$B10="Tensar TriAx TX150",AND(N$5&gt;=1,N$5&lt;=4),
$B10="Tensar TriAx TX160",AND(N$5&gt;=3,N$5&lt;=6),
$B10="Tensar InterAx NX750",AND(N$5&gt;=5,N$5&lt;=6),
$B10="Tensar InterAx NX850",AND(N$5&gt;=5,N$5&lt;=6),
$B10="Tensar HX5.5",AND(N$5&gt;=1,N$5&lt;=5),
$B10="Tensar SS30",AND(N$5&gt;=3,N$5&lt;=5),
$B10="Tensar HX165",AND(N$5&gt;=4,N$5&lt;=6),
OR($B10="GS-GRID B20/20",$B10="GS-GRID B20/20L"),AND(N$5&gt;=1,N$5&lt;=3),
OR($B10="GS-GRID B30/30",$B10="GS-GRID B30/30L"),AND(N$5&gt;=3,N$5&lt;=5),
OR($B10="GS-GRID SX160",$B10="E'GRID T6"),AND(N$5&gt;=3,N$5&lt;=6),
OR($B10="GS-GRID B30/30XL",$B10="GS-GRID B40/40",$B10="GS-GRID B40/40L"),AND(N$5&gt;=4,N$5&lt;=6),
OR($B10="GS-GRID SX170",$B10="E'GRID T7"),AND(N$5&gt;=4,N$5&lt;=6),
$B10="E'GRID T9L",AND(N$5&gt;=4,N$5&lt;=6),
TRUE,FALSE
),"x","") )</f>
        <v/>
      </c>
      <c r="O10" s="12" t="str" cm="1">
        <f t="array" ref="O10">IF(OR($B10="Anden armering",$B10=""),"",IF(_xlfn.IFS(
$B10="Tensar TriAx TX150",AND(O$5&gt;=1,O$5&lt;=4),
$B10="Tensar TriAx TX160",AND(O$5&gt;=3,O$5&lt;=6),
$B10="Tensar InterAx NX750",AND(O$5&gt;=5,O$5&lt;=6),
$B10="Tensar InterAx NX850",AND(O$5&gt;=5,O$5&lt;=6),
$B10="Tensar HX5.5",AND(O$5&gt;=1,O$5&lt;=5),
$B10="Tensar SS30",AND(O$5&gt;=3,O$5&lt;=5),
$B10="Tensar HX165",AND(O$5&gt;=4,O$5&lt;=6),
OR($B10="GS-GRID B20/20",$B10="GS-GRID B20/20L"),AND(O$5&gt;=1,O$5&lt;=3),
OR($B10="GS-GRID B30/30",$B10="GS-GRID B30/30L"),AND(O$5&gt;=3,O$5&lt;=5),
OR($B10="GS-GRID SX160",$B10="E'GRID T6"),AND(O$5&gt;=3,O$5&lt;=6),
OR($B10="GS-GRID B30/30XL",$B10="GS-GRID B40/40",$B10="GS-GRID B40/40L"),AND(O$5&gt;=4,O$5&lt;=6),
OR($B10="GS-GRID SX170",$B10="E'GRID T7"),AND(O$5&gt;=4,O$5&lt;=6),
$B10="E'GRID T9L",AND(O$5&gt;=4,O$5&lt;=6),
TRUE,FALSE
),"x","") )</f>
        <v>x</v>
      </c>
      <c r="P10" s="12" t="str" cm="1">
        <f t="array" ref="P10">IF(OR($B10="Anden armering",$B10=""),"",IF(_xlfn.IFS(
$B10="Tensar TriAx TX150",AND(P$5&gt;=1,P$5&lt;=4),
$B10="Tensar TriAx TX160",AND(P$5&gt;=3,P$5&lt;=6),
$B10="Tensar InterAx NX750",AND(P$5&gt;=5,P$5&lt;=6),
$B10="Tensar InterAx NX850",AND(P$5&gt;=5,P$5&lt;=6),
$B10="Tensar HX5.5",AND(P$5&gt;=1,P$5&lt;=5),
$B10="Tensar SS30",AND(P$5&gt;=3,P$5&lt;=5),
$B10="Tensar HX165",AND(P$5&gt;=4,P$5&lt;=6),
OR($B10="GS-GRID B20/20",$B10="GS-GRID B20/20L"),AND(P$5&gt;=1,P$5&lt;=3),
OR($B10="GS-GRID B30/30",$B10="GS-GRID B30/30L"),AND(P$5&gt;=3,P$5&lt;=5),
OR($B10="GS-GRID SX160",$B10="E'GRID T6"),AND(P$5&gt;=3,P$5&lt;=6),
OR($B10="GS-GRID B30/30XL",$B10="GS-GRID B40/40",$B10="GS-GRID B40/40L"),AND(P$5&gt;=4,P$5&lt;=6),
OR($B10="GS-GRID SX170",$B10="E'GRID T7"),AND(P$5&gt;=4,P$5&lt;=6),
$B10="E'GRID T9L",AND(P$5&gt;=4,P$5&lt;=6),
TRUE,FALSE
),"x","") )</f>
        <v>x</v>
      </c>
      <c r="Q10" s="12" t="str" cm="1">
        <f t="array" ref="Q10">IF(OR($B10="Anden armering",$B10=""),"",IF(_xlfn.IFS(
$B10="Tensar TriAx TX150",AND(Q$5&gt;=1,Q$5&lt;=4),
$B10="Tensar TriAx TX160",AND(Q$5&gt;=3,Q$5&lt;=6),
$B10="Tensar InterAx NX750",AND(Q$5&gt;=5,Q$5&lt;=6),
$B10="Tensar InterAx NX850",AND(Q$5&gt;=5,Q$5&lt;=6),
$B10="Tensar HX5.5",AND(Q$5&gt;=1,Q$5&lt;=5),
$B10="Tensar SS30",AND(Q$5&gt;=3,Q$5&lt;=5),
$B10="Tensar HX165",AND(Q$5&gt;=4,Q$5&lt;=6),
OR($B10="GS-GRID B20/20",$B10="GS-GRID B20/20L"),AND(Q$5&gt;=1,Q$5&lt;=3),
OR($B10="GS-GRID B30/30",$B10="GS-GRID B30/30L"),AND(Q$5&gt;=3,Q$5&lt;=5),
OR($B10="GS-GRID SX160",$B10="E'GRID T6"),AND(Q$5&gt;=3,Q$5&lt;=6),
OR($B10="GS-GRID B30/30XL",$B10="GS-GRID B40/40",$B10="GS-GRID B40/40L"),AND(Q$5&gt;=4,Q$5&lt;=6),
OR($B10="GS-GRID SX170",$B10="E'GRID T7"),AND(Q$5&gt;=4,Q$5&lt;=6),
$B10="E'GRID T9L",AND(Q$5&gt;=4,Q$5&lt;=6),
TRUE,FALSE
),"x","") )</f>
        <v>x</v>
      </c>
    </row>
    <row r="11" spans="2:17" ht="21.75" customHeight="1" x14ac:dyDescent="0.25">
      <c r="B11" s="92" t="s">
        <v>142</v>
      </c>
      <c r="C11" s="12" t="s">
        <v>341</v>
      </c>
      <c r="D11" s="12" t="s">
        <v>344</v>
      </c>
      <c r="E11" s="83">
        <v>-0.1</v>
      </c>
      <c r="F11" s="12" t="s">
        <v>569</v>
      </c>
      <c r="G11" s="12" t="s">
        <v>569</v>
      </c>
      <c r="H11" s="12">
        <v>20</v>
      </c>
      <c r="I11" s="12" t="s">
        <v>569</v>
      </c>
      <c r="J11" s="85" t="s">
        <v>283</v>
      </c>
      <c r="K11" s="12" t="s">
        <v>569</v>
      </c>
      <c r="L11" s="12" t="str" cm="1">
        <f t="array" ref="L11">IF(OR($B11="Anden armering",$B11=""),"",IF(_xlfn.IFS(
$B11="Tensar TriAx TX150",AND(L$5&gt;=1,L$5&lt;=4),
$B11="Tensar TriAx TX160",AND(L$5&gt;=3,L$5&lt;=6),
$B11="Tensar InterAx NX750",AND(L$5&gt;=5,L$5&lt;=6),
$B11="Tensar InterAx NX850",AND(L$5&gt;=5,L$5&lt;=6),
$B11="Tensar HX5.5",AND(L$5&gt;=1,L$5&lt;=5),
$B11="Tensar SS30",AND(L$5&gt;=3,L$5&lt;=5),
$B11="Tensar HX165",AND(L$5&gt;=4,L$5&lt;=6),
OR($B11="GS-GRID B20/20",$B11="GS-GRID B20/20L"),AND(L$5&gt;=1,L$5&lt;=3),
OR($B11="GS-GRID B30/30",$B11="GS-GRID B30/30L"),AND(L$5&gt;=3,L$5&lt;=5),
OR($B11="GS-GRID SX160",$B11="E'GRID T6"),AND(L$5&gt;=3,L$5&lt;=6),
OR($B11="GS-GRID B30/30XL",$B11="GS-GRID B40/40",$B11="GS-GRID B40/40L"),AND(L$5&gt;=4,L$5&lt;=6),
OR($B11="GS-GRID SX170",$B11="E'GRID T7"),AND(L$5&gt;=4,L$5&lt;=6),
$B11="E'GRID T9L",AND(L$5&gt;=4,L$5&lt;=6),
TRUE,FALSE
),"x","") )</f>
        <v/>
      </c>
      <c r="M11" s="12" t="str" cm="1">
        <f t="array" ref="M11">IF(OR($B11="Anden armering",$B11=""),"",IF(_xlfn.IFS(
$B11="Tensar TriAx TX150",AND(M$5&gt;=1,M$5&lt;=4),
$B11="Tensar TriAx TX160",AND(M$5&gt;=3,M$5&lt;=6),
$B11="Tensar InterAx NX750",AND(M$5&gt;=5,M$5&lt;=6),
$B11="Tensar InterAx NX850",AND(M$5&gt;=5,M$5&lt;=6),
$B11="Tensar HX5.5",AND(M$5&gt;=1,M$5&lt;=5),
$B11="Tensar SS30",AND(M$5&gt;=3,M$5&lt;=5),
$B11="Tensar HX165",AND(M$5&gt;=4,M$5&lt;=6),
OR($B11="GS-GRID B20/20",$B11="GS-GRID B20/20L"),AND(M$5&gt;=1,M$5&lt;=3),
OR($B11="GS-GRID B30/30",$B11="GS-GRID B30/30L"),AND(M$5&gt;=3,M$5&lt;=5),
OR($B11="GS-GRID SX160",$B11="E'GRID T6"),AND(M$5&gt;=3,M$5&lt;=6),
OR($B11="GS-GRID B30/30XL",$B11="GS-GRID B40/40",$B11="GS-GRID B40/40L"),AND(M$5&gt;=4,M$5&lt;=6),
OR($B11="GS-GRID SX170",$B11="E'GRID T7"),AND(M$5&gt;=4,M$5&lt;=6),
$B11="E'GRID T9L",AND(M$5&gt;=4,M$5&lt;=6),
TRUE,FALSE
),"x","") )</f>
        <v/>
      </c>
      <c r="N11" s="12" t="str" cm="1">
        <f t="array" ref="N11">IF(OR($B11="Anden armering",$B11=""),"",IF(_xlfn.IFS(
$B11="Tensar TriAx TX150",AND(N$5&gt;=1,N$5&lt;=4),
$B11="Tensar TriAx TX160",AND(N$5&gt;=3,N$5&lt;=6),
$B11="Tensar InterAx NX750",AND(N$5&gt;=5,N$5&lt;=6),
$B11="Tensar InterAx NX850",AND(N$5&gt;=5,N$5&lt;=6),
$B11="Tensar HX5.5",AND(N$5&gt;=1,N$5&lt;=5),
$B11="Tensar SS30",AND(N$5&gt;=3,N$5&lt;=5),
$B11="Tensar HX165",AND(N$5&gt;=4,N$5&lt;=6),
OR($B11="GS-GRID B20/20",$B11="GS-GRID B20/20L"),AND(N$5&gt;=1,N$5&lt;=3),
OR($B11="GS-GRID B30/30",$B11="GS-GRID B30/30L"),AND(N$5&gt;=3,N$5&lt;=5),
OR($B11="GS-GRID SX160",$B11="E'GRID T6"),AND(N$5&gt;=3,N$5&lt;=6),
OR($B11="GS-GRID B30/30XL",$B11="GS-GRID B40/40",$B11="GS-GRID B40/40L"),AND(N$5&gt;=4,N$5&lt;=6),
OR($B11="GS-GRID SX170",$B11="E'GRID T7"),AND(N$5&gt;=4,N$5&lt;=6),
$B11="E'GRID T9L",AND(N$5&gt;=4,N$5&lt;=6),
TRUE,FALSE
),"x","") )</f>
        <v/>
      </c>
      <c r="O11" s="12" t="str" cm="1">
        <f t="array" ref="O11">IF(OR($B11="Anden armering",$B11=""),"",IF(_xlfn.IFS(
$B11="Tensar TriAx TX150",AND(O$5&gt;=1,O$5&lt;=4),
$B11="Tensar TriAx TX160",AND(O$5&gt;=3,O$5&lt;=6),
$B11="Tensar InterAx NX750",AND(O$5&gt;=5,O$5&lt;=6),
$B11="Tensar InterAx NX850",AND(O$5&gt;=5,O$5&lt;=6),
$B11="Tensar HX5.5",AND(O$5&gt;=1,O$5&lt;=5),
$B11="Tensar SS30",AND(O$5&gt;=3,O$5&lt;=5),
$B11="Tensar HX165",AND(O$5&gt;=4,O$5&lt;=6),
OR($B11="GS-GRID B20/20",$B11="GS-GRID B20/20L"),AND(O$5&gt;=1,O$5&lt;=3),
OR($B11="GS-GRID B30/30",$B11="GS-GRID B30/30L"),AND(O$5&gt;=3,O$5&lt;=5),
OR($B11="GS-GRID SX160",$B11="E'GRID T6"),AND(O$5&gt;=3,O$5&lt;=6),
OR($B11="GS-GRID B30/30XL",$B11="GS-GRID B40/40",$B11="GS-GRID B40/40L"),AND(O$5&gt;=4,O$5&lt;=6),
OR($B11="GS-GRID SX170",$B11="E'GRID T7"),AND(O$5&gt;=4,O$5&lt;=6),
$B11="E'GRID T9L",AND(O$5&gt;=4,O$5&lt;=6),
TRUE,FALSE
),"x","") )</f>
        <v/>
      </c>
      <c r="P11" s="12" t="str" cm="1">
        <f t="array" ref="P11">IF(OR($B11="Anden armering",$B11=""),"",IF(_xlfn.IFS(
$B11="Tensar TriAx TX150",AND(P$5&gt;=1,P$5&lt;=4),
$B11="Tensar TriAx TX160",AND(P$5&gt;=3,P$5&lt;=6),
$B11="Tensar InterAx NX750",AND(P$5&gt;=5,P$5&lt;=6),
$B11="Tensar InterAx NX850",AND(P$5&gt;=5,P$5&lt;=6),
$B11="Tensar HX5.5",AND(P$5&gt;=1,P$5&lt;=5),
$B11="Tensar SS30",AND(P$5&gt;=3,P$5&lt;=5),
$B11="Tensar HX165",AND(P$5&gt;=4,P$5&lt;=6),
OR($B11="GS-GRID B20/20",$B11="GS-GRID B20/20L"),AND(P$5&gt;=1,P$5&lt;=3),
OR($B11="GS-GRID B30/30",$B11="GS-GRID B30/30L"),AND(P$5&gt;=3,P$5&lt;=5),
OR($B11="GS-GRID SX160",$B11="E'GRID T6"),AND(P$5&gt;=3,P$5&lt;=6),
OR($B11="GS-GRID B30/30XL",$B11="GS-GRID B40/40",$B11="GS-GRID B40/40L"),AND(P$5&gt;=4,P$5&lt;=6),
OR($B11="GS-GRID SX170",$B11="E'GRID T7"),AND(P$5&gt;=4,P$5&lt;=6),
$B11="E'GRID T9L",AND(P$5&gt;=4,P$5&lt;=6),
TRUE,FALSE
),"x","") )</f>
        <v>x</v>
      </c>
      <c r="Q11" s="12" t="str" cm="1">
        <f t="array" ref="Q11">IF(OR($B11="Anden armering",$B11=""),"",IF(_xlfn.IFS(
$B11="Tensar TriAx TX150",AND(Q$5&gt;=1,Q$5&lt;=4),
$B11="Tensar TriAx TX160",AND(Q$5&gt;=3,Q$5&lt;=6),
$B11="Tensar InterAx NX750",AND(Q$5&gt;=5,Q$5&lt;=6),
$B11="Tensar InterAx NX850",AND(Q$5&gt;=5,Q$5&lt;=6),
$B11="Tensar HX5.5",AND(Q$5&gt;=1,Q$5&lt;=5),
$B11="Tensar SS30",AND(Q$5&gt;=3,Q$5&lt;=5),
$B11="Tensar HX165",AND(Q$5&gt;=4,Q$5&lt;=6),
OR($B11="GS-GRID B20/20",$B11="GS-GRID B20/20L"),AND(Q$5&gt;=1,Q$5&lt;=3),
OR($B11="GS-GRID B30/30",$B11="GS-GRID B30/30L"),AND(Q$5&gt;=3,Q$5&lt;=5),
OR($B11="GS-GRID SX160",$B11="E'GRID T6"),AND(Q$5&gt;=3,Q$5&lt;=6),
OR($B11="GS-GRID B30/30XL",$B11="GS-GRID B40/40",$B11="GS-GRID B40/40L"),AND(Q$5&gt;=4,Q$5&lt;=6),
OR($B11="GS-GRID SX170",$B11="E'GRID T7"),AND(Q$5&gt;=4,Q$5&lt;=6),
$B11="E'GRID T9L",AND(Q$5&gt;=4,Q$5&lt;=6),
TRUE,FALSE
),"x","") )</f>
        <v>x</v>
      </c>
    </row>
    <row r="12" spans="2:17" ht="21.75" customHeight="1" x14ac:dyDescent="0.25">
      <c r="B12" s="92" t="s">
        <v>284</v>
      </c>
      <c r="C12" s="12" t="s">
        <v>341</v>
      </c>
      <c r="D12" s="12" t="s">
        <v>344</v>
      </c>
      <c r="E12" s="83">
        <v>-0.15</v>
      </c>
      <c r="F12" s="12" t="s">
        <v>569</v>
      </c>
      <c r="G12" s="12" t="s">
        <v>569</v>
      </c>
      <c r="H12" s="12">
        <v>20</v>
      </c>
      <c r="I12" s="12" t="s">
        <v>569</v>
      </c>
      <c r="J12" s="85" t="s">
        <v>285</v>
      </c>
      <c r="K12" s="12" t="s">
        <v>569</v>
      </c>
      <c r="L12" s="12" t="str" cm="1">
        <f t="array" ref="L12">IF(OR($B12="Anden armering",$B12=""),"",IF(_xlfn.IFS(
$B12="Tensar TriAx TX150",AND(L$5&gt;=1,L$5&lt;=4),
$B12="Tensar TriAx TX160",AND(L$5&gt;=3,L$5&lt;=6),
$B12="Tensar InterAx NX750",AND(L$5&gt;=5,L$5&lt;=6),
$B12="Tensar InterAx NX850",AND(L$5&gt;=5,L$5&lt;=6),
$B12="Tensar HX5.5",AND(L$5&gt;=1,L$5&lt;=5),
$B12="Tensar SS30",AND(L$5&gt;=3,L$5&lt;=5),
$B12="Tensar HX165",AND(L$5&gt;=4,L$5&lt;=6),
OR($B12="GS-GRID B20/20",$B12="GS-GRID B20/20L"),AND(L$5&gt;=1,L$5&lt;=3),
OR($B12="GS-GRID B30/30",$B12="GS-GRID B30/30L"),AND(L$5&gt;=3,L$5&lt;=5),
OR($B12="GS-GRID SX160",$B12="E'GRID T6"),AND(L$5&gt;=3,L$5&lt;=6),
OR($B12="GS-GRID B30/30XL",$B12="GS-GRID B40/40",$B12="GS-GRID B40/40L"),AND(L$5&gt;=4,L$5&lt;=6),
OR($B12="GS-GRID SX170",$B12="E'GRID T7"),AND(L$5&gt;=4,L$5&lt;=6),
$B12="E'GRID T9L",AND(L$5&gt;=4,L$5&lt;=6),
TRUE,FALSE
),"x","") )</f>
        <v/>
      </c>
      <c r="M12" s="12" t="str" cm="1">
        <f t="array" ref="M12">IF(OR($B12="Anden armering",$B12=""),"",IF(_xlfn.IFS(
$B12="Tensar TriAx TX150",AND(M$5&gt;=1,M$5&lt;=4),
$B12="Tensar TriAx TX160",AND(M$5&gt;=3,M$5&lt;=6),
$B12="Tensar InterAx NX750",AND(M$5&gt;=5,M$5&lt;=6),
$B12="Tensar InterAx NX850",AND(M$5&gt;=5,M$5&lt;=6),
$B12="Tensar HX5.5",AND(M$5&gt;=1,M$5&lt;=5),
$B12="Tensar SS30",AND(M$5&gt;=3,M$5&lt;=5),
$B12="Tensar HX165",AND(M$5&gt;=4,M$5&lt;=6),
OR($B12="GS-GRID B20/20",$B12="GS-GRID B20/20L"),AND(M$5&gt;=1,M$5&lt;=3),
OR($B12="GS-GRID B30/30",$B12="GS-GRID B30/30L"),AND(M$5&gt;=3,M$5&lt;=5),
OR($B12="GS-GRID SX160",$B12="E'GRID T6"),AND(M$5&gt;=3,M$5&lt;=6),
OR($B12="GS-GRID B30/30XL",$B12="GS-GRID B40/40",$B12="GS-GRID B40/40L"),AND(M$5&gt;=4,M$5&lt;=6),
OR($B12="GS-GRID SX170",$B12="E'GRID T7"),AND(M$5&gt;=4,M$5&lt;=6),
$B12="E'GRID T9L",AND(M$5&gt;=4,M$5&lt;=6),
TRUE,FALSE
),"x","") )</f>
        <v/>
      </c>
      <c r="N12" s="12" t="str" cm="1">
        <f t="array" ref="N12">IF(OR($B12="Anden armering",$B12=""),"",IF(_xlfn.IFS(
$B12="Tensar TriAx TX150",AND(N$5&gt;=1,N$5&lt;=4),
$B12="Tensar TriAx TX160",AND(N$5&gt;=3,N$5&lt;=6),
$B12="Tensar InterAx NX750",AND(N$5&gt;=5,N$5&lt;=6),
$B12="Tensar InterAx NX850",AND(N$5&gt;=5,N$5&lt;=6),
$B12="Tensar HX5.5",AND(N$5&gt;=1,N$5&lt;=5),
$B12="Tensar SS30",AND(N$5&gt;=3,N$5&lt;=5),
$B12="Tensar HX165",AND(N$5&gt;=4,N$5&lt;=6),
OR($B12="GS-GRID B20/20",$B12="GS-GRID B20/20L"),AND(N$5&gt;=1,N$5&lt;=3),
OR($B12="GS-GRID B30/30",$B12="GS-GRID B30/30L"),AND(N$5&gt;=3,N$5&lt;=5),
OR($B12="GS-GRID SX160",$B12="E'GRID T6"),AND(N$5&gt;=3,N$5&lt;=6),
OR($B12="GS-GRID B30/30XL",$B12="GS-GRID B40/40",$B12="GS-GRID B40/40L"),AND(N$5&gt;=4,N$5&lt;=6),
OR($B12="GS-GRID SX170",$B12="E'GRID T7"),AND(N$5&gt;=4,N$5&lt;=6),
$B12="E'GRID T9L",AND(N$5&gt;=4,N$5&lt;=6),
TRUE,FALSE
),"x","") )</f>
        <v/>
      </c>
      <c r="O12" s="12" t="str" cm="1">
        <f t="array" ref="O12">IF(OR($B12="Anden armering",$B12=""),"",IF(_xlfn.IFS(
$B12="Tensar TriAx TX150",AND(O$5&gt;=1,O$5&lt;=4),
$B12="Tensar TriAx TX160",AND(O$5&gt;=3,O$5&lt;=6),
$B12="Tensar InterAx NX750",AND(O$5&gt;=5,O$5&lt;=6),
$B12="Tensar InterAx NX850",AND(O$5&gt;=5,O$5&lt;=6),
$B12="Tensar HX5.5",AND(O$5&gt;=1,O$5&lt;=5),
$B12="Tensar SS30",AND(O$5&gt;=3,O$5&lt;=5),
$B12="Tensar HX165",AND(O$5&gt;=4,O$5&lt;=6),
OR($B12="GS-GRID B20/20",$B12="GS-GRID B20/20L"),AND(O$5&gt;=1,O$5&lt;=3),
OR($B12="GS-GRID B30/30",$B12="GS-GRID B30/30L"),AND(O$5&gt;=3,O$5&lt;=5),
OR($B12="GS-GRID SX160",$B12="E'GRID T6"),AND(O$5&gt;=3,O$5&lt;=6),
OR($B12="GS-GRID B30/30XL",$B12="GS-GRID B40/40",$B12="GS-GRID B40/40L"),AND(O$5&gt;=4,O$5&lt;=6),
OR($B12="GS-GRID SX170",$B12="E'GRID T7"),AND(O$5&gt;=4,O$5&lt;=6),
$B12="E'GRID T9L",AND(O$5&gt;=4,O$5&lt;=6),
TRUE,FALSE
),"x","") )</f>
        <v/>
      </c>
      <c r="P12" s="12" t="str" cm="1">
        <f t="array" ref="P12">IF(OR($B12="Anden armering",$B12=""),"",IF(_xlfn.IFS(
$B12="Tensar TriAx TX150",AND(P$5&gt;=1,P$5&lt;=4),
$B12="Tensar TriAx TX160",AND(P$5&gt;=3,P$5&lt;=6),
$B12="Tensar InterAx NX750",AND(P$5&gt;=5,P$5&lt;=6),
$B12="Tensar InterAx NX850",AND(P$5&gt;=5,P$5&lt;=6),
$B12="Tensar HX5.5",AND(P$5&gt;=1,P$5&lt;=5),
$B12="Tensar SS30",AND(P$5&gt;=3,P$5&lt;=5),
$B12="Tensar HX165",AND(P$5&gt;=4,P$5&lt;=6),
OR($B12="GS-GRID B20/20",$B12="GS-GRID B20/20L"),AND(P$5&gt;=1,P$5&lt;=3),
OR($B12="GS-GRID B30/30",$B12="GS-GRID B30/30L"),AND(P$5&gt;=3,P$5&lt;=5),
OR($B12="GS-GRID SX160",$B12="E'GRID T6"),AND(P$5&gt;=3,P$5&lt;=6),
OR($B12="GS-GRID B30/30XL",$B12="GS-GRID B40/40",$B12="GS-GRID B40/40L"),AND(P$5&gt;=4,P$5&lt;=6),
OR($B12="GS-GRID SX170",$B12="E'GRID T7"),AND(P$5&gt;=4,P$5&lt;=6),
$B12="E'GRID T9L",AND(P$5&gt;=4,P$5&lt;=6),
TRUE,FALSE
),"x","") )</f>
        <v>x</v>
      </c>
      <c r="Q12" s="12" t="str" cm="1">
        <f t="array" ref="Q12">IF(OR($B12="Anden armering",$B12=""),"",IF(_xlfn.IFS(
$B12="Tensar TriAx TX150",AND(Q$5&gt;=1,Q$5&lt;=4),
$B12="Tensar TriAx TX160",AND(Q$5&gt;=3,Q$5&lt;=6),
$B12="Tensar InterAx NX750",AND(Q$5&gt;=5,Q$5&lt;=6),
$B12="Tensar InterAx NX850",AND(Q$5&gt;=5,Q$5&lt;=6),
$B12="Tensar HX5.5",AND(Q$5&gt;=1,Q$5&lt;=5),
$B12="Tensar SS30",AND(Q$5&gt;=3,Q$5&lt;=5),
$B12="Tensar HX165",AND(Q$5&gt;=4,Q$5&lt;=6),
OR($B12="GS-GRID B20/20",$B12="GS-GRID B20/20L"),AND(Q$5&gt;=1,Q$5&lt;=3),
OR($B12="GS-GRID B30/30",$B12="GS-GRID B30/30L"),AND(Q$5&gt;=3,Q$5&lt;=5),
OR($B12="GS-GRID SX160",$B12="E'GRID T6"),AND(Q$5&gt;=3,Q$5&lt;=6),
OR($B12="GS-GRID B30/30XL",$B12="GS-GRID B40/40",$B12="GS-GRID B40/40L"),AND(Q$5&gt;=4,Q$5&lt;=6),
OR($B12="GS-GRID SX170",$B12="E'GRID T7"),AND(Q$5&gt;=4,Q$5&lt;=6),
$B12="E'GRID T9L",AND(Q$5&gt;=4,Q$5&lt;=6),
TRUE,FALSE
),"x","") )</f>
        <v>x</v>
      </c>
    </row>
    <row r="13" spans="2:17" ht="21.75" customHeight="1" x14ac:dyDescent="0.25">
      <c r="B13" s="92" t="s">
        <v>286</v>
      </c>
      <c r="C13" s="12" t="s">
        <v>347</v>
      </c>
      <c r="D13" s="12" t="s">
        <v>342</v>
      </c>
      <c r="E13" s="83">
        <v>0.2</v>
      </c>
      <c r="F13" s="12" t="s">
        <v>348</v>
      </c>
      <c r="G13" s="12">
        <v>64</v>
      </c>
      <c r="H13" s="12">
        <v>20</v>
      </c>
      <c r="I13" s="12">
        <v>3.95</v>
      </c>
      <c r="J13" s="85"/>
      <c r="K13" s="12">
        <v>80</v>
      </c>
      <c r="L13" s="12" t="str" cm="1">
        <f t="array" ref="L13">IF(OR($B13="Anden armering",$B13=""),"",IF(_xlfn.IFS(
$B13="Tensar TriAx TX150",AND(L$5&gt;=1,L$5&lt;=4),
$B13="Tensar TriAx TX160",AND(L$5&gt;=3,L$5&lt;=6),
$B13="Tensar InterAx NX750",AND(L$5&gt;=5,L$5&lt;=6),
$B13="Tensar InterAx NX850",AND(L$5&gt;=5,L$5&lt;=6),
$B13="Tensar HX5.5",AND(L$5&gt;=1,L$5&lt;=5),
$B13="Tensar SS30",AND(L$5&gt;=3,L$5&lt;=5),
$B13="Tensar HX165",AND(L$5&gt;=4,L$5&lt;=6),
OR($B13="GS-GRID B20/20",$B13="GS-GRID B20/20L"),AND(L$5&gt;=1,L$5&lt;=3),
OR($B13="GS-GRID B30/30",$B13="GS-GRID B30/30L"),AND(L$5&gt;=3,L$5&lt;=5),
OR($B13="GS-GRID SX160",$B13="E'GRID T6"),AND(L$5&gt;=3,L$5&lt;=6),
OR($B13="GS-GRID B30/30XL",$B13="GS-GRID B40/40",$B13="GS-GRID B40/40L"),AND(L$5&gt;=4,L$5&lt;=6),
OR($B13="GS-GRID SX170",$B13="E'GRID T7"),AND(L$5&gt;=4,L$5&lt;=6),
$B13="E'GRID T9L",AND(L$5&gt;=4,L$5&lt;=6),
TRUE,FALSE
),"x","") )</f>
        <v>x</v>
      </c>
      <c r="M13" s="12" t="str" cm="1">
        <f t="array" ref="M13">IF(OR($B13="Anden armering",$B13=""),"",IF(_xlfn.IFS(
$B13="Tensar TriAx TX150",AND(M$5&gt;=1,M$5&lt;=4),
$B13="Tensar TriAx TX160",AND(M$5&gt;=3,M$5&lt;=6),
$B13="Tensar InterAx NX750",AND(M$5&gt;=5,M$5&lt;=6),
$B13="Tensar InterAx NX850",AND(M$5&gt;=5,M$5&lt;=6),
$B13="Tensar HX5.5",AND(M$5&gt;=1,M$5&lt;=5),
$B13="Tensar SS30",AND(M$5&gt;=3,M$5&lt;=5),
$B13="Tensar HX165",AND(M$5&gt;=4,M$5&lt;=6),
OR($B13="GS-GRID B20/20",$B13="GS-GRID B20/20L"),AND(M$5&gt;=1,M$5&lt;=3),
OR($B13="GS-GRID B30/30",$B13="GS-GRID B30/30L"),AND(M$5&gt;=3,M$5&lt;=5),
OR($B13="GS-GRID SX160",$B13="E'GRID T6"),AND(M$5&gt;=3,M$5&lt;=6),
OR($B13="GS-GRID B30/30XL",$B13="GS-GRID B40/40",$B13="GS-GRID B40/40L"),AND(M$5&gt;=4,M$5&lt;=6),
OR($B13="GS-GRID SX170",$B13="E'GRID T7"),AND(M$5&gt;=4,M$5&lt;=6),
$B13="E'GRID T9L",AND(M$5&gt;=4,M$5&lt;=6),
TRUE,FALSE
),"x","") )</f>
        <v>x</v>
      </c>
      <c r="N13" s="12" t="str" cm="1">
        <f t="array" ref="N13">IF(OR($B13="Anden armering",$B13=""),"",IF(_xlfn.IFS(
$B13="Tensar TriAx TX150",AND(N$5&gt;=1,N$5&lt;=4),
$B13="Tensar TriAx TX160",AND(N$5&gt;=3,N$5&lt;=6),
$B13="Tensar InterAx NX750",AND(N$5&gt;=5,N$5&lt;=6),
$B13="Tensar InterAx NX850",AND(N$5&gt;=5,N$5&lt;=6),
$B13="Tensar HX5.5",AND(N$5&gt;=1,N$5&lt;=5),
$B13="Tensar SS30",AND(N$5&gt;=3,N$5&lt;=5),
$B13="Tensar HX165",AND(N$5&gt;=4,N$5&lt;=6),
OR($B13="GS-GRID B20/20",$B13="GS-GRID B20/20L"),AND(N$5&gt;=1,N$5&lt;=3),
OR($B13="GS-GRID B30/30",$B13="GS-GRID B30/30L"),AND(N$5&gt;=3,N$5&lt;=5),
OR($B13="GS-GRID SX160",$B13="E'GRID T6"),AND(N$5&gt;=3,N$5&lt;=6),
OR($B13="GS-GRID B30/30XL",$B13="GS-GRID B40/40",$B13="GS-GRID B40/40L"),AND(N$5&gt;=4,N$5&lt;=6),
OR($B13="GS-GRID SX170",$B13="E'GRID T7"),AND(N$5&gt;=4,N$5&lt;=6),
$B13="E'GRID T9L",AND(N$5&gt;=4,N$5&lt;=6),
TRUE,FALSE
),"x","") )</f>
        <v>x</v>
      </c>
      <c r="O13" s="12" t="str" cm="1">
        <f t="array" ref="O13">IF(OR($B13="Anden armering",$B13=""),"",IF(_xlfn.IFS(
$B13="Tensar TriAx TX150",AND(O$5&gt;=1,O$5&lt;=4),
$B13="Tensar TriAx TX160",AND(O$5&gt;=3,O$5&lt;=6),
$B13="Tensar InterAx NX750",AND(O$5&gt;=5,O$5&lt;=6),
$B13="Tensar InterAx NX850",AND(O$5&gt;=5,O$5&lt;=6),
$B13="Tensar HX5.5",AND(O$5&gt;=1,O$5&lt;=5),
$B13="Tensar SS30",AND(O$5&gt;=3,O$5&lt;=5),
$B13="Tensar HX165",AND(O$5&gt;=4,O$5&lt;=6),
OR($B13="GS-GRID B20/20",$B13="GS-GRID B20/20L"),AND(O$5&gt;=1,O$5&lt;=3),
OR($B13="GS-GRID B30/30",$B13="GS-GRID B30/30L"),AND(O$5&gt;=3,O$5&lt;=5),
OR($B13="GS-GRID SX160",$B13="E'GRID T6"),AND(O$5&gt;=3,O$5&lt;=6),
OR($B13="GS-GRID B30/30XL",$B13="GS-GRID B40/40",$B13="GS-GRID B40/40L"),AND(O$5&gt;=4,O$5&lt;=6),
OR($B13="GS-GRID SX170",$B13="E'GRID T7"),AND(O$5&gt;=4,O$5&lt;=6),
$B13="E'GRID T9L",AND(O$5&gt;=4,O$5&lt;=6),
TRUE,FALSE
),"x","") )</f>
        <v/>
      </c>
      <c r="P13" s="12" t="str" cm="1">
        <f t="array" ref="P13">IF(OR($B13="Anden armering",$B13=""),"",IF(_xlfn.IFS(
$B13="Tensar TriAx TX150",AND(P$5&gt;=1,P$5&lt;=4),
$B13="Tensar TriAx TX160",AND(P$5&gt;=3,P$5&lt;=6),
$B13="Tensar InterAx NX750",AND(P$5&gt;=5,P$5&lt;=6),
$B13="Tensar InterAx NX850",AND(P$5&gt;=5,P$5&lt;=6),
$B13="Tensar HX5.5",AND(P$5&gt;=1,P$5&lt;=5),
$B13="Tensar SS30",AND(P$5&gt;=3,P$5&lt;=5),
$B13="Tensar HX165",AND(P$5&gt;=4,P$5&lt;=6),
OR($B13="GS-GRID B20/20",$B13="GS-GRID B20/20L"),AND(P$5&gt;=1,P$5&lt;=3),
OR($B13="GS-GRID B30/30",$B13="GS-GRID B30/30L"),AND(P$5&gt;=3,P$5&lt;=5),
OR($B13="GS-GRID SX160",$B13="E'GRID T6"),AND(P$5&gt;=3,P$5&lt;=6),
OR($B13="GS-GRID B30/30XL",$B13="GS-GRID B40/40",$B13="GS-GRID B40/40L"),AND(P$5&gt;=4,P$5&lt;=6),
OR($B13="GS-GRID SX170",$B13="E'GRID T7"),AND(P$5&gt;=4,P$5&lt;=6),
$B13="E'GRID T9L",AND(P$5&gt;=4,P$5&lt;=6),
TRUE,FALSE
),"x","") )</f>
        <v/>
      </c>
      <c r="Q13" s="12" t="str" cm="1">
        <f t="array" ref="Q13">IF(OR($B13="Anden armering",$B13=""),"",IF(_xlfn.IFS(
$B13="Tensar TriAx TX150",AND(Q$5&gt;=1,Q$5&lt;=4),
$B13="Tensar TriAx TX160",AND(Q$5&gt;=3,Q$5&lt;=6),
$B13="Tensar InterAx NX750",AND(Q$5&gt;=5,Q$5&lt;=6),
$B13="Tensar InterAx NX850",AND(Q$5&gt;=5,Q$5&lt;=6),
$B13="Tensar HX5.5",AND(Q$5&gt;=1,Q$5&lt;=5),
$B13="Tensar SS30",AND(Q$5&gt;=3,Q$5&lt;=5),
$B13="Tensar HX165",AND(Q$5&gt;=4,Q$5&lt;=6),
OR($B13="GS-GRID B20/20",$B13="GS-GRID B20/20L"),AND(Q$5&gt;=1,Q$5&lt;=3),
OR($B13="GS-GRID B30/30",$B13="GS-GRID B30/30L"),AND(Q$5&gt;=3,Q$5&lt;=5),
OR($B13="GS-GRID SX160",$B13="E'GRID T6"),AND(Q$5&gt;=3,Q$5&lt;=6),
OR($B13="GS-GRID B30/30XL",$B13="GS-GRID B40/40",$B13="GS-GRID B40/40L"),AND(Q$5&gt;=4,Q$5&lt;=6),
OR($B13="GS-GRID SX170",$B13="E'GRID T7"),AND(Q$5&gt;=4,Q$5&lt;=6),
$B13="E'GRID T9L",AND(Q$5&gt;=4,Q$5&lt;=6),
TRUE,FALSE
),"x","") )</f>
        <v/>
      </c>
    </row>
    <row r="14" spans="2:17" ht="21.75" customHeight="1" x14ac:dyDescent="0.25">
      <c r="B14" s="92" t="s">
        <v>287</v>
      </c>
      <c r="C14" s="12" t="s">
        <v>347</v>
      </c>
      <c r="D14" s="12" t="s">
        <v>342</v>
      </c>
      <c r="E14" s="83">
        <v>0.2</v>
      </c>
      <c r="F14" s="12" t="s">
        <v>569</v>
      </c>
      <c r="G14" s="12" t="s">
        <v>569</v>
      </c>
      <c r="H14" s="12">
        <v>20</v>
      </c>
      <c r="I14" s="12" t="s">
        <v>569</v>
      </c>
      <c r="J14" s="85"/>
      <c r="K14" s="12" t="s">
        <v>569</v>
      </c>
      <c r="L14" s="12" t="str" cm="1">
        <f t="array" ref="L14">IF(OR($B14="Anden armering",$B14=""),"",IF(_xlfn.IFS(
$B14="Tensar TriAx TX150",AND(L$5&gt;=1,L$5&lt;=4),
$B14="Tensar TriAx TX160",AND(L$5&gt;=3,L$5&lt;=6),
$B14="Tensar InterAx NX750",AND(L$5&gt;=5,L$5&lt;=6),
$B14="Tensar InterAx NX850",AND(L$5&gt;=5,L$5&lt;=6),
$B14="Tensar HX5.5",AND(L$5&gt;=1,L$5&lt;=5),
$B14="Tensar SS30",AND(L$5&gt;=3,L$5&lt;=5),
$B14="Tensar HX165",AND(L$5&gt;=4,L$5&lt;=6),
OR($B14="GS-GRID B20/20",$B14="GS-GRID B20/20L"),AND(L$5&gt;=1,L$5&lt;=3),
OR($B14="GS-GRID B30/30",$B14="GS-GRID B30/30L"),AND(L$5&gt;=3,L$5&lt;=5),
OR($B14="GS-GRID SX160",$B14="E'GRID T6"),AND(L$5&gt;=3,L$5&lt;=6),
OR($B14="GS-GRID B30/30XL",$B14="GS-GRID B40/40",$B14="GS-GRID B40/40L"),AND(L$5&gt;=4,L$5&lt;=6),
OR($B14="GS-GRID SX170",$B14="E'GRID T7"),AND(L$5&gt;=4,L$5&lt;=6),
$B14="E'GRID T9L",AND(L$5&gt;=4,L$5&lt;=6),
TRUE,FALSE
),"x","") )</f>
        <v>x</v>
      </c>
      <c r="M14" s="12" t="str" cm="1">
        <f t="array" ref="M14">IF(OR($B14="Anden armering",$B14=""),"",IF(_xlfn.IFS(
$B14="Tensar TriAx TX150",AND(M$5&gt;=1,M$5&lt;=4),
$B14="Tensar TriAx TX160",AND(M$5&gt;=3,M$5&lt;=6),
$B14="Tensar InterAx NX750",AND(M$5&gt;=5,M$5&lt;=6),
$B14="Tensar InterAx NX850",AND(M$5&gt;=5,M$5&lt;=6),
$B14="Tensar HX5.5",AND(M$5&gt;=1,M$5&lt;=5),
$B14="Tensar SS30",AND(M$5&gt;=3,M$5&lt;=5),
$B14="Tensar HX165",AND(M$5&gt;=4,M$5&lt;=6),
OR($B14="GS-GRID B20/20",$B14="GS-GRID B20/20L"),AND(M$5&gt;=1,M$5&lt;=3),
OR($B14="GS-GRID B30/30",$B14="GS-GRID B30/30L"),AND(M$5&gt;=3,M$5&lt;=5),
OR($B14="GS-GRID SX160",$B14="E'GRID T6"),AND(M$5&gt;=3,M$5&lt;=6),
OR($B14="GS-GRID B30/30XL",$B14="GS-GRID B40/40",$B14="GS-GRID B40/40L"),AND(M$5&gt;=4,M$5&lt;=6),
OR($B14="GS-GRID SX170",$B14="E'GRID T7"),AND(M$5&gt;=4,M$5&lt;=6),
$B14="E'GRID T9L",AND(M$5&gt;=4,M$5&lt;=6),
TRUE,FALSE
),"x","") )</f>
        <v>x</v>
      </c>
      <c r="N14" s="12" t="str" cm="1">
        <f t="array" ref="N14">IF(OR($B14="Anden armering",$B14=""),"",IF(_xlfn.IFS(
$B14="Tensar TriAx TX150",AND(N$5&gt;=1,N$5&lt;=4),
$B14="Tensar TriAx TX160",AND(N$5&gt;=3,N$5&lt;=6),
$B14="Tensar InterAx NX750",AND(N$5&gt;=5,N$5&lt;=6),
$B14="Tensar InterAx NX850",AND(N$5&gt;=5,N$5&lt;=6),
$B14="Tensar HX5.5",AND(N$5&gt;=1,N$5&lt;=5),
$B14="Tensar SS30",AND(N$5&gt;=3,N$5&lt;=5),
$B14="Tensar HX165",AND(N$5&gt;=4,N$5&lt;=6),
OR($B14="GS-GRID B20/20",$B14="GS-GRID B20/20L"),AND(N$5&gt;=1,N$5&lt;=3),
OR($B14="GS-GRID B30/30",$B14="GS-GRID B30/30L"),AND(N$5&gt;=3,N$5&lt;=5),
OR($B14="GS-GRID SX160",$B14="E'GRID T6"),AND(N$5&gt;=3,N$5&lt;=6),
OR($B14="GS-GRID B30/30XL",$B14="GS-GRID B40/40",$B14="GS-GRID B40/40L"),AND(N$5&gt;=4,N$5&lt;=6),
OR($B14="GS-GRID SX170",$B14="E'GRID T7"),AND(N$5&gt;=4,N$5&lt;=6),
$B14="E'GRID T9L",AND(N$5&gt;=4,N$5&lt;=6),
TRUE,FALSE
),"x","") )</f>
        <v>x</v>
      </c>
      <c r="O14" s="12" t="str" cm="1">
        <f t="array" ref="O14">IF(OR($B14="Anden armering",$B14=""),"",IF(_xlfn.IFS(
$B14="Tensar TriAx TX150",AND(O$5&gt;=1,O$5&lt;=4),
$B14="Tensar TriAx TX160",AND(O$5&gt;=3,O$5&lt;=6),
$B14="Tensar InterAx NX750",AND(O$5&gt;=5,O$5&lt;=6),
$B14="Tensar InterAx NX850",AND(O$5&gt;=5,O$5&lt;=6),
$B14="Tensar HX5.5",AND(O$5&gt;=1,O$5&lt;=5),
$B14="Tensar SS30",AND(O$5&gt;=3,O$5&lt;=5),
$B14="Tensar HX165",AND(O$5&gt;=4,O$5&lt;=6),
OR($B14="GS-GRID B20/20",$B14="GS-GRID B20/20L"),AND(O$5&gt;=1,O$5&lt;=3),
OR($B14="GS-GRID B30/30",$B14="GS-GRID B30/30L"),AND(O$5&gt;=3,O$5&lt;=5),
OR($B14="GS-GRID SX160",$B14="E'GRID T6"),AND(O$5&gt;=3,O$5&lt;=6),
OR($B14="GS-GRID B30/30XL",$B14="GS-GRID B40/40",$B14="GS-GRID B40/40L"),AND(O$5&gt;=4,O$5&lt;=6),
OR($B14="GS-GRID SX170",$B14="E'GRID T7"),AND(O$5&gt;=4,O$5&lt;=6),
$B14="E'GRID T9L",AND(O$5&gt;=4,O$5&lt;=6),
TRUE,FALSE
),"x","") )</f>
        <v/>
      </c>
      <c r="P14" s="12" t="str" cm="1">
        <f t="array" ref="P14">IF(OR($B14="Anden armering",$B14=""),"",IF(_xlfn.IFS(
$B14="Tensar TriAx TX150",AND(P$5&gt;=1,P$5&lt;=4),
$B14="Tensar TriAx TX160",AND(P$5&gt;=3,P$5&lt;=6),
$B14="Tensar InterAx NX750",AND(P$5&gt;=5,P$5&lt;=6),
$B14="Tensar InterAx NX850",AND(P$5&gt;=5,P$5&lt;=6),
$B14="Tensar HX5.5",AND(P$5&gt;=1,P$5&lt;=5),
$B14="Tensar SS30",AND(P$5&gt;=3,P$5&lt;=5),
$B14="Tensar HX165",AND(P$5&gt;=4,P$5&lt;=6),
OR($B14="GS-GRID B20/20",$B14="GS-GRID B20/20L"),AND(P$5&gt;=1,P$5&lt;=3),
OR($B14="GS-GRID B30/30",$B14="GS-GRID B30/30L"),AND(P$5&gt;=3,P$5&lt;=5),
OR($B14="GS-GRID SX160",$B14="E'GRID T6"),AND(P$5&gt;=3,P$5&lt;=6),
OR($B14="GS-GRID B30/30XL",$B14="GS-GRID B40/40",$B14="GS-GRID B40/40L"),AND(P$5&gt;=4,P$5&lt;=6),
OR($B14="GS-GRID SX170",$B14="E'GRID T7"),AND(P$5&gt;=4,P$5&lt;=6),
$B14="E'GRID T9L",AND(P$5&gt;=4,P$5&lt;=6),
TRUE,FALSE
),"x","") )</f>
        <v/>
      </c>
      <c r="Q14" s="12" t="str" cm="1">
        <f t="array" ref="Q14">IF(OR($B14="Anden armering",$B14=""),"",IF(_xlfn.IFS(
$B14="Tensar TriAx TX150",AND(Q$5&gt;=1,Q$5&lt;=4),
$B14="Tensar TriAx TX160",AND(Q$5&gt;=3,Q$5&lt;=6),
$B14="Tensar InterAx NX750",AND(Q$5&gt;=5,Q$5&lt;=6),
$B14="Tensar InterAx NX850",AND(Q$5&gt;=5,Q$5&lt;=6),
$B14="Tensar HX5.5",AND(Q$5&gt;=1,Q$5&lt;=5),
$B14="Tensar SS30",AND(Q$5&gt;=3,Q$5&lt;=5),
$B14="Tensar HX165",AND(Q$5&gt;=4,Q$5&lt;=6),
OR($B14="GS-GRID B20/20",$B14="GS-GRID B20/20L"),AND(Q$5&gt;=1,Q$5&lt;=3),
OR($B14="GS-GRID B30/30",$B14="GS-GRID B30/30L"),AND(Q$5&gt;=3,Q$5&lt;=5),
OR($B14="GS-GRID SX160",$B14="E'GRID T6"),AND(Q$5&gt;=3,Q$5&lt;=6),
OR($B14="GS-GRID B30/30XL",$B14="GS-GRID B40/40",$B14="GS-GRID B40/40L"),AND(Q$5&gt;=4,Q$5&lt;=6),
OR($B14="GS-GRID SX170",$B14="E'GRID T7"),AND(Q$5&gt;=4,Q$5&lt;=6),
$B14="E'GRID T9L",AND(Q$5&gt;=4,Q$5&lt;=6),
TRUE,FALSE
),"x","") )</f>
        <v/>
      </c>
    </row>
    <row r="15" spans="2:17" ht="21.75" customHeight="1" x14ac:dyDescent="0.25">
      <c r="B15" s="92" t="s">
        <v>288</v>
      </c>
      <c r="C15" s="12" t="s">
        <v>347</v>
      </c>
      <c r="D15" s="12" t="s">
        <v>342</v>
      </c>
      <c r="E15" s="83">
        <v>0.1</v>
      </c>
      <c r="F15" s="12" t="s">
        <v>349</v>
      </c>
      <c r="G15" s="12">
        <v>64</v>
      </c>
      <c r="H15" s="12">
        <v>20</v>
      </c>
      <c r="I15" s="12">
        <v>3.95</v>
      </c>
      <c r="J15" s="85"/>
      <c r="K15" s="12">
        <v>80</v>
      </c>
      <c r="L15" s="12" t="str" cm="1">
        <f t="array" ref="L15">IF(OR($B15="Anden armering",$B15=""),"",IF(_xlfn.IFS(
$B15="Tensar TriAx TX150",AND(L$5&gt;=1,L$5&lt;=4),
$B15="Tensar TriAx TX160",AND(L$5&gt;=3,L$5&lt;=6),
$B15="Tensar InterAx NX750",AND(L$5&gt;=5,L$5&lt;=6),
$B15="Tensar InterAx NX850",AND(L$5&gt;=5,L$5&lt;=6),
$B15="Tensar HX5.5",AND(L$5&gt;=1,L$5&lt;=5),
$B15="Tensar SS30",AND(L$5&gt;=3,L$5&lt;=5),
$B15="Tensar HX165",AND(L$5&gt;=4,L$5&lt;=6),
OR($B15="GS-GRID B20/20",$B15="GS-GRID B20/20L"),AND(L$5&gt;=1,L$5&lt;=3),
OR($B15="GS-GRID B30/30",$B15="GS-GRID B30/30L"),AND(L$5&gt;=3,L$5&lt;=5),
OR($B15="GS-GRID SX160",$B15="E'GRID T6"),AND(L$5&gt;=3,L$5&lt;=6),
OR($B15="GS-GRID B30/30XL",$B15="GS-GRID B40/40",$B15="GS-GRID B40/40L"),AND(L$5&gt;=4,L$5&lt;=6),
OR($B15="GS-GRID SX170",$B15="E'GRID T7"),AND(L$5&gt;=4,L$5&lt;=6),
$B15="E'GRID T9L",AND(L$5&gt;=4,L$5&lt;=6),
TRUE,FALSE
),"x","") )</f>
        <v/>
      </c>
      <c r="M15" s="12" t="str" cm="1">
        <f t="array" ref="M15">IF(OR($B15="Anden armering",$B15=""),"",IF(_xlfn.IFS(
$B15="Tensar TriAx TX150",AND(M$5&gt;=1,M$5&lt;=4),
$B15="Tensar TriAx TX160",AND(M$5&gt;=3,M$5&lt;=6),
$B15="Tensar InterAx NX750",AND(M$5&gt;=5,M$5&lt;=6),
$B15="Tensar InterAx NX850",AND(M$5&gt;=5,M$5&lt;=6),
$B15="Tensar HX5.5",AND(M$5&gt;=1,M$5&lt;=5),
$B15="Tensar SS30",AND(M$5&gt;=3,M$5&lt;=5),
$B15="Tensar HX165",AND(M$5&gt;=4,M$5&lt;=6),
OR($B15="GS-GRID B20/20",$B15="GS-GRID B20/20L"),AND(M$5&gt;=1,M$5&lt;=3),
OR($B15="GS-GRID B30/30",$B15="GS-GRID B30/30L"),AND(M$5&gt;=3,M$5&lt;=5),
OR($B15="GS-GRID SX160",$B15="E'GRID T6"),AND(M$5&gt;=3,M$5&lt;=6),
OR($B15="GS-GRID B30/30XL",$B15="GS-GRID B40/40",$B15="GS-GRID B40/40L"),AND(M$5&gt;=4,M$5&lt;=6),
OR($B15="GS-GRID SX170",$B15="E'GRID T7"),AND(M$5&gt;=4,M$5&lt;=6),
$B15="E'GRID T9L",AND(M$5&gt;=4,M$5&lt;=6),
TRUE,FALSE
),"x","") )</f>
        <v/>
      </c>
      <c r="N15" s="12" t="str" cm="1">
        <f t="array" ref="N15">IF(OR($B15="Anden armering",$B15=""),"",IF(_xlfn.IFS(
$B15="Tensar TriAx TX150",AND(N$5&gt;=1,N$5&lt;=4),
$B15="Tensar TriAx TX160",AND(N$5&gt;=3,N$5&lt;=6),
$B15="Tensar InterAx NX750",AND(N$5&gt;=5,N$5&lt;=6),
$B15="Tensar InterAx NX850",AND(N$5&gt;=5,N$5&lt;=6),
$B15="Tensar HX5.5",AND(N$5&gt;=1,N$5&lt;=5),
$B15="Tensar SS30",AND(N$5&gt;=3,N$5&lt;=5),
$B15="Tensar HX165",AND(N$5&gt;=4,N$5&lt;=6),
OR($B15="GS-GRID B20/20",$B15="GS-GRID B20/20L"),AND(N$5&gt;=1,N$5&lt;=3),
OR($B15="GS-GRID B30/30",$B15="GS-GRID B30/30L"),AND(N$5&gt;=3,N$5&lt;=5),
OR($B15="GS-GRID SX160",$B15="E'GRID T6"),AND(N$5&gt;=3,N$5&lt;=6),
OR($B15="GS-GRID B30/30XL",$B15="GS-GRID B40/40",$B15="GS-GRID B40/40L"),AND(N$5&gt;=4,N$5&lt;=6),
OR($B15="GS-GRID SX170",$B15="E'GRID T7"),AND(N$5&gt;=4,N$5&lt;=6),
$B15="E'GRID T9L",AND(N$5&gt;=4,N$5&lt;=6),
TRUE,FALSE
),"x","") )</f>
        <v>x</v>
      </c>
      <c r="O15" s="12" t="str" cm="1">
        <f t="array" ref="O15">IF(OR($B15="Anden armering",$B15=""),"",IF(_xlfn.IFS(
$B15="Tensar TriAx TX150",AND(O$5&gt;=1,O$5&lt;=4),
$B15="Tensar TriAx TX160",AND(O$5&gt;=3,O$5&lt;=6),
$B15="Tensar InterAx NX750",AND(O$5&gt;=5,O$5&lt;=6),
$B15="Tensar InterAx NX850",AND(O$5&gt;=5,O$5&lt;=6),
$B15="Tensar HX5.5",AND(O$5&gt;=1,O$5&lt;=5),
$B15="Tensar SS30",AND(O$5&gt;=3,O$5&lt;=5),
$B15="Tensar HX165",AND(O$5&gt;=4,O$5&lt;=6),
OR($B15="GS-GRID B20/20",$B15="GS-GRID B20/20L"),AND(O$5&gt;=1,O$5&lt;=3),
OR($B15="GS-GRID B30/30",$B15="GS-GRID B30/30L"),AND(O$5&gt;=3,O$5&lt;=5),
OR($B15="GS-GRID SX160",$B15="E'GRID T6"),AND(O$5&gt;=3,O$5&lt;=6),
OR($B15="GS-GRID B30/30XL",$B15="GS-GRID B40/40",$B15="GS-GRID B40/40L"),AND(O$5&gt;=4,O$5&lt;=6),
OR($B15="GS-GRID SX170",$B15="E'GRID T7"),AND(O$5&gt;=4,O$5&lt;=6),
$B15="E'GRID T9L",AND(O$5&gt;=4,O$5&lt;=6),
TRUE,FALSE
),"x","") )</f>
        <v>x</v>
      </c>
      <c r="P15" s="12" t="str" cm="1">
        <f t="array" ref="P15">IF(OR($B15="Anden armering",$B15=""),"",IF(_xlfn.IFS(
$B15="Tensar TriAx TX150",AND(P$5&gt;=1,P$5&lt;=4),
$B15="Tensar TriAx TX160",AND(P$5&gt;=3,P$5&lt;=6),
$B15="Tensar InterAx NX750",AND(P$5&gt;=5,P$5&lt;=6),
$B15="Tensar InterAx NX850",AND(P$5&gt;=5,P$5&lt;=6),
$B15="Tensar HX5.5",AND(P$5&gt;=1,P$5&lt;=5),
$B15="Tensar SS30",AND(P$5&gt;=3,P$5&lt;=5),
$B15="Tensar HX165",AND(P$5&gt;=4,P$5&lt;=6),
OR($B15="GS-GRID B20/20",$B15="GS-GRID B20/20L"),AND(P$5&gt;=1,P$5&lt;=3),
OR($B15="GS-GRID B30/30",$B15="GS-GRID B30/30L"),AND(P$5&gt;=3,P$5&lt;=5),
OR($B15="GS-GRID SX160",$B15="E'GRID T6"),AND(P$5&gt;=3,P$5&lt;=6),
OR($B15="GS-GRID B30/30XL",$B15="GS-GRID B40/40",$B15="GS-GRID B40/40L"),AND(P$5&gt;=4,P$5&lt;=6),
OR($B15="GS-GRID SX170",$B15="E'GRID T7"),AND(P$5&gt;=4,P$5&lt;=6),
$B15="E'GRID T9L",AND(P$5&gt;=4,P$5&lt;=6),
TRUE,FALSE
),"x","") )</f>
        <v>x</v>
      </c>
      <c r="Q15" s="12" t="str" cm="1">
        <f t="array" ref="Q15">IF(OR($B15="Anden armering",$B15=""),"",IF(_xlfn.IFS(
$B15="Tensar TriAx TX150",AND(Q$5&gt;=1,Q$5&lt;=4),
$B15="Tensar TriAx TX160",AND(Q$5&gt;=3,Q$5&lt;=6),
$B15="Tensar InterAx NX750",AND(Q$5&gt;=5,Q$5&lt;=6),
$B15="Tensar InterAx NX850",AND(Q$5&gt;=5,Q$5&lt;=6),
$B15="Tensar HX5.5",AND(Q$5&gt;=1,Q$5&lt;=5),
$B15="Tensar SS30",AND(Q$5&gt;=3,Q$5&lt;=5),
$B15="Tensar HX165",AND(Q$5&gt;=4,Q$5&lt;=6),
OR($B15="GS-GRID B20/20",$B15="GS-GRID B20/20L"),AND(Q$5&gt;=1,Q$5&lt;=3),
OR($B15="GS-GRID B30/30",$B15="GS-GRID B30/30L"),AND(Q$5&gt;=3,Q$5&lt;=5),
OR($B15="GS-GRID SX160",$B15="E'GRID T6"),AND(Q$5&gt;=3,Q$5&lt;=6),
OR($B15="GS-GRID B30/30XL",$B15="GS-GRID B40/40",$B15="GS-GRID B40/40L"),AND(Q$5&gt;=4,Q$5&lt;=6),
OR($B15="GS-GRID SX170",$B15="E'GRID T7"),AND(Q$5&gt;=4,Q$5&lt;=6),
$B15="E'GRID T9L",AND(Q$5&gt;=4,Q$5&lt;=6),
TRUE,FALSE
),"x","") )</f>
        <v/>
      </c>
    </row>
    <row r="16" spans="2:17" ht="21.75" customHeight="1" x14ac:dyDescent="0.25">
      <c r="B16" s="92" t="s">
        <v>289</v>
      </c>
      <c r="C16" s="12" t="s">
        <v>347</v>
      </c>
      <c r="D16" s="12" t="s">
        <v>342</v>
      </c>
      <c r="E16" s="83">
        <v>0.1</v>
      </c>
      <c r="F16" s="12" t="s">
        <v>350</v>
      </c>
      <c r="G16" s="12">
        <v>120</v>
      </c>
      <c r="H16" s="12">
        <v>40</v>
      </c>
      <c r="I16" s="12">
        <v>3.95</v>
      </c>
      <c r="J16" s="85"/>
      <c r="K16" s="12">
        <v>150</v>
      </c>
      <c r="L16" s="12" t="str" cm="1">
        <f t="array" ref="L16">IF(OR($B16="Anden armering",$B16=""),"",IF(_xlfn.IFS(
$B16="Tensar TriAx TX150",AND(L$5&gt;=1,L$5&lt;=4),
$B16="Tensar TriAx TX160",AND(L$5&gt;=3,L$5&lt;=6),
$B16="Tensar InterAx NX750",AND(L$5&gt;=5,L$5&lt;=6),
$B16="Tensar InterAx NX850",AND(L$5&gt;=5,L$5&lt;=6),
$B16="Tensar HX5.5",AND(L$5&gt;=1,L$5&lt;=5),
$B16="Tensar SS30",AND(L$5&gt;=3,L$5&lt;=5),
$B16="Tensar HX165",AND(L$5&gt;=4,L$5&lt;=6),
OR($B16="GS-GRID B20/20",$B16="GS-GRID B20/20L"),AND(L$5&gt;=1,L$5&lt;=3),
OR($B16="GS-GRID B30/30",$B16="GS-GRID B30/30L"),AND(L$5&gt;=3,L$5&lt;=5),
OR($B16="GS-GRID SX160",$B16="E'GRID T6"),AND(L$5&gt;=3,L$5&lt;=6),
OR($B16="GS-GRID B30/30XL",$B16="GS-GRID B40/40",$B16="GS-GRID B40/40L"),AND(L$5&gt;=4,L$5&lt;=6),
OR($B16="GS-GRID SX170",$B16="E'GRID T7"),AND(L$5&gt;=4,L$5&lt;=6),
$B16="E'GRID T9L",AND(L$5&gt;=4,L$5&lt;=6),
TRUE,FALSE
),"x","") )</f>
        <v/>
      </c>
      <c r="M16" s="12" t="str" cm="1">
        <f t="array" ref="M16">IF(OR($B16="Anden armering",$B16=""),"",IF(_xlfn.IFS(
$B16="Tensar TriAx TX150",AND(M$5&gt;=1,M$5&lt;=4),
$B16="Tensar TriAx TX160",AND(M$5&gt;=3,M$5&lt;=6),
$B16="Tensar InterAx NX750",AND(M$5&gt;=5,M$5&lt;=6),
$B16="Tensar InterAx NX850",AND(M$5&gt;=5,M$5&lt;=6),
$B16="Tensar HX5.5",AND(M$5&gt;=1,M$5&lt;=5),
$B16="Tensar SS30",AND(M$5&gt;=3,M$5&lt;=5),
$B16="Tensar HX165",AND(M$5&gt;=4,M$5&lt;=6),
OR($B16="GS-GRID B20/20",$B16="GS-GRID B20/20L"),AND(M$5&gt;=1,M$5&lt;=3),
OR($B16="GS-GRID B30/30",$B16="GS-GRID B30/30L"),AND(M$5&gt;=3,M$5&lt;=5),
OR($B16="GS-GRID SX160",$B16="E'GRID T6"),AND(M$5&gt;=3,M$5&lt;=6),
OR($B16="GS-GRID B30/30XL",$B16="GS-GRID B40/40",$B16="GS-GRID B40/40L"),AND(M$5&gt;=4,M$5&lt;=6),
OR($B16="GS-GRID SX170",$B16="E'GRID T7"),AND(M$5&gt;=4,M$5&lt;=6),
$B16="E'GRID T9L",AND(M$5&gt;=4,M$5&lt;=6),
TRUE,FALSE
),"x","") )</f>
        <v/>
      </c>
      <c r="N16" s="12" t="str" cm="1">
        <f t="array" ref="N16">IF(OR($B16="Anden armering",$B16=""),"",IF(_xlfn.IFS(
$B16="Tensar TriAx TX150",AND(N$5&gt;=1,N$5&lt;=4),
$B16="Tensar TriAx TX160",AND(N$5&gt;=3,N$5&lt;=6),
$B16="Tensar InterAx NX750",AND(N$5&gt;=5,N$5&lt;=6),
$B16="Tensar InterAx NX850",AND(N$5&gt;=5,N$5&lt;=6),
$B16="Tensar HX5.5",AND(N$5&gt;=1,N$5&lt;=5),
$B16="Tensar SS30",AND(N$5&gt;=3,N$5&lt;=5),
$B16="Tensar HX165",AND(N$5&gt;=4,N$5&lt;=6),
OR($B16="GS-GRID B20/20",$B16="GS-GRID B20/20L"),AND(N$5&gt;=1,N$5&lt;=3),
OR($B16="GS-GRID B30/30",$B16="GS-GRID B30/30L"),AND(N$5&gt;=3,N$5&lt;=5),
OR($B16="GS-GRID SX160",$B16="E'GRID T6"),AND(N$5&gt;=3,N$5&lt;=6),
OR($B16="GS-GRID B30/30XL",$B16="GS-GRID B40/40",$B16="GS-GRID B40/40L"),AND(N$5&gt;=4,N$5&lt;=6),
OR($B16="GS-GRID SX170",$B16="E'GRID T7"),AND(N$5&gt;=4,N$5&lt;=6),
$B16="E'GRID T9L",AND(N$5&gt;=4,N$5&lt;=6),
TRUE,FALSE
),"x","") )</f>
        <v>x</v>
      </c>
      <c r="O16" s="12" t="str" cm="1">
        <f t="array" ref="O16">IF(OR($B16="Anden armering",$B16=""),"",IF(_xlfn.IFS(
$B16="Tensar TriAx TX150",AND(O$5&gt;=1,O$5&lt;=4),
$B16="Tensar TriAx TX160",AND(O$5&gt;=3,O$5&lt;=6),
$B16="Tensar InterAx NX750",AND(O$5&gt;=5,O$5&lt;=6),
$B16="Tensar InterAx NX850",AND(O$5&gt;=5,O$5&lt;=6),
$B16="Tensar HX5.5",AND(O$5&gt;=1,O$5&lt;=5),
$B16="Tensar SS30",AND(O$5&gt;=3,O$5&lt;=5),
$B16="Tensar HX165",AND(O$5&gt;=4,O$5&lt;=6),
OR($B16="GS-GRID B20/20",$B16="GS-GRID B20/20L"),AND(O$5&gt;=1,O$5&lt;=3),
OR($B16="GS-GRID B30/30",$B16="GS-GRID B30/30L"),AND(O$5&gt;=3,O$5&lt;=5),
OR($B16="GS-GRID SX160",$B16="E'GRID T6"),AND(O$5&gt;=3,O$5&lt;=6),
OR($B16="GS-GRID B30/30XL",$B16="GS-GRID B40/40",$B16="GS-GRID B40/40L"),AND(O$5&gt;=4,O$5&lt;=6),
OR($B16="GS-GRID SX170",$B16="E'GRID T7"),AND(O$5&gt;=4,O$5&lt;=6),
$B16="E'GRID T9L",AND(O$5&gt;=4,O$5&lt;=6),
TRUE,FALSE
),"x","") )</f>
        <v>x</v>
      </c>
      <c r="P16" s="12" t="str" cm="1">
        <f t="array" ref="P16">IF(OR($B16="Anden armering",$B16=""),"",IF(_xlfn.IFS(
$B16="Tensar TriAx TX150",AND(P$5&gt;=1,P$5&lt;=4),
$B16="Tensar TriAx TX160",AND(P$5&gt;=3,P$5&lt;=6),
$B16="Tensar InterAx NX750",AND(P$5&gt;=5,P$5&lt;=6),
$B16="Tensar InterAx NX850",AND(P$5&gt;=5,P$5&lt;=6),
$B16="Tensar HX5.5",AND(P$5&gt;=1,P$5&lt;=5),
$B16="Tensar SS30",AND(P$5&gt;=3,P$5&lt;=5),
$B16="Tensar HX165",AND(P$5&gt;=4,P$5&lt;=6),
OR($B16="GS-GRID B20/20",$B16="GS-GRID B20/20L"),AND(P$5&gt;=1,P$5&lt;=3),
OR($B16="GS-GRID B30/30",$B16="GS-GRID B30/30L"),AND(P$5&gt;=3,P$5&lt;=5),
OR($B16="GS-GRID SX160",$B16="E'GRID T6"),AND(P$5&gt;=3,P$5&lt;=6),
OR($B16="GS-GRID B30/30XL",$B16="GS-GRID B40/40",$B16="GS-GRID B40/40L"),AND(P$5&gt;=4,P$5&lt;=6),
OR($B16="GS-GRID SX170",$B16="E'GRID T7"),AND(P$5&gt;=4,P$5&lt;=6),
$B16="E'GRID T9L",AND(P$5&gt;=4,P$5&lt;=6),
TRUE,FALSE
),"x","") )</f>
        <v>x</v>
      </c>
      <c r="Q16" s="12" t="str" cm="1">
        <f t="array" ref="Q16">IF(OR($B16="Anden armering",$B16=""),"",IF(_xlfn.IFS(
$B16="Tensar TriAx TX150",AND(Q$5&gt;=1,Q$5&lt;=4),
$B16="Tensar TriAx TX160",AND(Q$5&gt;=3,Q$5&lt;=6),
$B16="Tensar InterAx NX750",AND(Q$5&gt;=5,Q$5&lt;=6),
$B16="Tensar InterAx NX850",AND(Q$5&gt;=5,Q$5&lt;=6),
$B16="Tensar HX5.5",AND(Q$5&gt;=1,Q$5&lt;=5),
$B16="Tensar SS30",AND(Q$5&gt;=3,Q$5&lt;=5),
$B16="Tensar HX165",AND(Q$5&gt;=4,Q$5&lt;=6),
OR($B16="GS-GRID B20/20",$B16="GS-GRID B20/20L"),AND(Q$5&gt;=1,Q$5&lt;=3),
OR($B16="GS-GRID B30/30",$B16="GS-GRID B30/30L"),AND(Q$5&gt;=3,Q$5&lt;=5),
OR($B16="GS-GRID SX160",$B16="E'GRID T6"),AND(Q$5&gt;=3,Q$5&lt;=6),
OR($B16="GS-GRID B30/30XL",$B16="GS-GRID B40/40",$B16="GS-GRID B40/40L"),AND(Q$5&gt;=4,Q$5&lt;=6),
OR($B16="GS-GRID SX170",$B16="E'GRID T7"),AND(Q$5&gt;=4,Q$5&lt;=6),
$B16="E'GRID T9L",AND(Q$5&gt;=4,Q$5&lt;=6),
TRUE,FALSE
),"x","") )</f>
        <v/>
      </c>
    </row>
    <row r="17" spans="2:17" ht="21.75" customHeight="1" x14ac:dyDescent="0.25">
      <c r="B17" s="92" t="s">
        <v>290</v>
      </c>
      <c r="C17" s="12" t="s">
        <v>347</v>
      </c>
      <c r="D17" s="12" t="s">
        <v>342</v>
      </c>
      <c r="E17" s="83">
        <v>0.1</v>
      </c>
      <c r="F17" s="12" t="s">
        <v>351</v>
      </c>
      <c r="G17" s="12">
        <v>200</v>
      </c>
      <c r="H17" s="12">
        <v>60</v>
      </c>
      <c r="I17" s="12">
        <v>3.95</v>
      </c>
      <c r="J17" s="85"/>
      <c r="K17" s="12">
        <v>200</v>
      </c>
      <c r="L17" s="12" t="str" cm="1">
        <f t="array" ref="L17">IF(OR($B17="Anden armering",$B17=""),"",IF(_xlfn.IFS(
$B17="Tensar TriAx TX150",AND(L$5&gt;=1,L$5&lt;=4),
$B17="Tensar TriAx TX160",AND(L$5&gt;=3,L$5&lt;=6),
$B17="Tensar InterAx NX750",AND(L$5&gt;=5,L$5&lt;=6),
$B17="Tensar InterAx NX850",AND(L$5&gt;=5,L$5&lt;=6),
$B17="Tensar HX5.5",AND(L$5&gt;=1,L$5&lt;=5),
$B17="Tensar SS30",AND(L$5&gt;=3,L$5&lt;=5),
$B17="Tensar HX165",AND(L$5&gt;=4,L$5&lt;=6),
OR($B17="GS-GRID B20/20",$B17="GS-GRID B20/20L"),AND(L$5&gt;=1,L$5&lt;=3),
OR($B17="GS-GRID B30/30",$B17="GS-GRID B30/30L"),AND(L$5&gt;=3,L$5&lt;=5),
OR($B17="GS-GRID SX160",$B17="E'GRID T6"),AND(L$5&gt;=3,L$5&lt;=6),
OR($B17="GS-GRID B30/30XL",$B17="GS-GRID B40/40",$B17="GS-GRID B40/40L"),AND(L$5&gt;=4,L$5&lt;=6),
OR($B17="GS-GRID SX170",$B17="E'GRID T7"),AND(L$5&gt;=4,L$5&lt;=6),
$B17="E'GRID T9L",AND(L$5&gt;=4,L$5&lt;=6),
TRUE,FALSE
),"x","") )</f>
        <v/>
      </c>
      <c r="M17" s="12" t="str" cm="1">
        <f t="array" ref="M17">IF(OR($B17="Anden armering",$B17=""),"",IF(_xlfn.IFS(
$B17="Tensar TriAx TX150",AND(M$5&gt;=1,M$5&lt;=4),
$B17="Tensar TriAx TX160",AND(M$5&gt;=3,M$5&lt;=6),
$B17="Tensar InterAx NX750",AND(M$5&gt;=5,M$5&lt;=6),
$B17="Tensar InterAx NX850",AND(M$5&gt;=5,M$5&lt;=6),
$B17="Tensar HX5.5",AND(M$5&gt;=1,M$5&lt;=5),
$B17="Tensar SS30",AND(M$5&gt;=3,M$5&lt;=5),
$B17="Tensar HX165",AND(M$5&gt;=4,M$5&lt;=6),
OR($B17="GS-GRID B20/20",$B17="GS-GRID B20/20L"),AND(M$5&gt;=1,M$5&lt;=3),
OR($B17="GS-GRID B30/30",$B17="GS-GRID B30/30L"),AND(M$5&gt;=3,M$5&lt;=5),
OR($B17="GS-GRID SX160",$B17="E'GRID T6"),AND(M$5&gt;=3,M$5&lt;=6),
OR($B17="GS-GRID B30/30XL",$B17="GS-GRID B40/40",$B17="GS-GRID B40/40L"),AND(M$5&gt;=4,M$5&lt;=6),
OR($B17="GS-GRID SX170",$B17="E'GRID T7"),AND(M$5&gt;=4,M$5&lt;=6),
$B17="E'GRID T9L",AND(M$5&gt;=4,M$5&lt;=6),
TRUE,FALSE
),"x","") )</f>
        <v/>
      </c>
      <c r="N17" s="12" t="str" cm="1">
        <f t="array" ref="N17">IF(OR($B17="Anden armering",$B17=""),"",IF(_xlfn.IFS(
$B17="Tensar TriAx TX150",AND(N$5&gt;=1,N$5&lt;=4),
$B17="Tensar TriAx TX160",AND(N$5&gt;=3,N$5&lt;=6),
$B17="Tensar InterAx NX750",AND(N$5&gt;=5,N$5&lt;=6),
$B17="Tensar InterAx NX850",AND(N$5&gt;=5,N$5&lt;=6),
$B17="Tensar HX5.5",AND(N$5&gt;=1,N$5&lt;=5),
$B17="Tensar SS30",AND(N$5&gt;=3,N$5&lt;=5),
$B17="Tensar HX165",AND(N$5&gt;=4,N$5&lt;=6),
OR($B17="GS-GRID B20/20",$B17="GS-GRID B20/20L"),AND(N$5&gt;=1,N$5&lt;=3),
OR($B17="GS-GRID B30/30",$B17="GS-GRID B30/30L"),AND(N$5&gt;=3,N$5&lt;=5),
OR($B17="GS-GRID SX160",$B17="E'GRID T6"),AND(N$5&gt;=3,N$5&lt;=6),
OR($B17="GS-GRID B30/30XL",$B17="GS-GRID B40/40",$B17="GS-GRID B40/40L"),AND(N$5&gt;=4,N$5&lt;=6),
OR($B17="GS-GRID SX170",$B17="E'GRID T7"),AND(N$5&gt;=4,N$5&lt;=6),
$B17="E'GRID T9L",AND(N$5&gt;=4,N$5&lt;=6),
TRUE,FALSE
),"x","") )</f>
        <v/>
      </c>
      <c r="O17" s="12" t="str" cm="1">
        <f t="array" ref="O17">IF(OR($B17="Anden armering",$B17=""),"",IF(_xlfn.IFS(
$B17="Tensar TriAx TX150",AND(O$5&gt;=1,O$5&lt;=4),
$B17="Tensar TriAx TX160",AND(O$5&gt;=3,O$5&lt;=6),
$B17="Tensar InterAx NX750",AND(O$5&gt;=5,O$5&lt;=6),
$B17="Tensar InterAx NX850",AND(O$5&gt;=5,O$5&lt;=6),
$B17="Tensar HX5.5",AND(O$5&gt;=1,O$5&lt;=5),
$B17="Tensar SS30",AND(O$5&gt;=3,O$5&lt;=5),
$B17="Tensar HX165",AND(O$5&gt;=4,O$5&lt;=6),
OR($B17="GS-GRID B20/20",$B17="GS-GRID B20/20L"),AND(O$5&gt;=1,O$5&lt;=3),
OR($B17="GS-GRID B30/30",$B17="GS-GRID B30/30L"),AND(O$5&gt;=3,O$5&lt;=5),
OR($B17="GS-GRID SX160",$B17="E'GRID T6"),AND(O$5&gt;=3,O$5&lt;=6),
OR($B17="GS-GRID B30/30XL",$B17="GS-GRID B40/40",$B17="GS-GRID B40/40L"),AND(O$5&gt;=4,O$5&lt;=6),
OR($B17="GS-GRID SX170",$B17="E'GRID T7"),AND(O$5&gt;=4,O$5&lt;=6),
$B17="E'GRID T9L",AND(O$5&gt;=4,O$5&lt;=6),
TRUE,FALSE
),"x","") )</f>
        <v>x</v>
      </c>
      <c r="P17" s="12" t="str" cm="1">
        <f t="array" ref="P17">IF(OR($B17="Anden armering",$B17=""),"",IF(_xlfn.IFS(
$B17="Tensar TriAx TX150",AND(P$5&gt;=1,P$5&lt;=4),
$B17="Tensar TriAx TX160",AND(P$5&gt;=3,P$5&lt;=6),
$B17="Tensar InterAx NX750",AND(P$5&gt;=5,P$5&lt;=6),
$B17="Tensar InterAx NX850",AND(P$5&gt;=5,P$5&lt;=6),
$B17="Tensar HX5.5",AND(P$5&gt;=1,P$5&lt;=5),
$B17="Tensar SS30",AND(P$5&gt;=3,P$5&lt;=5),
$B17="Tensar HX165",AND(P$5&gt;=4,P$5&lt;=6),
OR($B17="GS-GRID B20/20",$B17="GS-GRID B20/20L"),AND(P$5&gt;=1,P$5&lt;=3),
OR($B17="GS-GRID B30/30",$B17="GS-GRID B30/30L"),AND(P$5&gt;=3,P$5&lt;=5),
OR($B17="GS-GRID SX160",$B17="E'GRID T6"),AND(P$5&gt;=3,P$5&lt;=6),
OR($B17="GS-GRID B30/30XL",$B17="GS-GRID B40/40",$B17="GS-GRID B40/40L"),AND(P$5&gt;=4,P$5&lt;=6),
OR($B17="GS-GRID SX170",$B17="E'GRID T7"),AND(P$5&gt;=4,P$5&lt;=6),
$B17="E'GRID T9L",AND(P$5&gt;=4,P$5&lt;=6),
TRUE,FALSE
),"x","") )</f>
        <v>x</v>
      </c>
      <c r="Q17" s="12" t="str" cm="1">
        <f t="array" ref="Q17">IF(OR($B17="Anden armering",$B17=""),"",IF(_xlfn.IFS(
$B17="Tensar TriAx TX150",AND(Q$5&gt;=1,Q$5&lt;=4),
$B17="Tensar TriAx TX160",AND(Q$5&gt;=3,Q$5&lt;=6),
$B17="Tensar InterAx NX750",AND(Q$5&gt;=5,Q$5&lt;=6),
$B17="Tensar InterAx NX850",AND(Q$5&gt;=5,Q$5&lt;=6),
$B17="Tensar HX5.5",AND(Q$5&gt;=1,Q$5&lt;=5),
$B17="Tensar SS30",AND(Q$5&gt;=3,Q$5&lt;=5),
$B17="Tensar HX165",AND(Q$5&gt;=4,Q$5&lt;=6),
OR($B17="GS-GRID B20/20",$B17="GS-GRID B20/20L"),AND(Q$5&gt;=1,Q$5&lt;=3),
OR($B17="GS-GRID B30/30",$B17="GS-GRID B30/30L"),AND(Q$5&gt;=3,Q$5&lt;=5),
OR($B17="GS-GRID SX160",$B17="E'GRID T6"),AND(Q$5&gt;=3,Q$5&lt;=6),
OR($B17="GS-GRID B30/30XL",$B17="GS-GRID B40/40",$B17="GS-GRID B40/40L"),AND(Q$5&gt;=4,Q$5&lt;=6),
OR($B17="GS-GRID SX170",$B17="E'GRID T7"),AND(Q$5&gt;=4,Q$5&lt;=6),
$B17="E'GRID T9L",AND(Q$5&gt;=4,Q$5&lt;=6),
TRUE,FALSE
),"x","") )</f>
        <v>x</v>
      </c>
    </row>
    <row r="18" spans="2:17" ht="21.75" customHeight="1" x14ac:dyDescent="0.25">
      <c r="B18" s="92" t="s">
        <v>291</v>
      </c>
      <c r="C18" s="12" t="s">
        <v>347</v>
      </c>
      <c r="D18" s="12" t="s">
        <v>342</v>
      </c>
      <c r="E18" s="83">
        <v>0</v>
      </c>
      <c r="F18" s="12" t="s">
        <v>352</v>
      </c>
      <c r="G18" s="12">
        <v>64</v>
      </c>
      <c r="H18" s="12">
        <v>20</v>
      </c>
      <c r="I18" s="12">
        <v>3.95</v>
      </c>
      <c r="J18" s="85"/>
      <c r="K18" s="12">
        <v>80</v>
      </c>
      <c r="L18" s="12" t="str" cm="1">
        <f t="array" ref="L18">IF(OR($B18="Anden armering",$B18=""),"",IF(_xlfn.IFS(
$B18="Tensar TriAx TX150",AND(L$5&gt;=1,L$5&lt;=4),
$B18="Tensar TriAx TX160",AND(L$5&gt;=3,L$5&lt;=6),
$B18="Tensar InterAx NX750",AND(L$5&gt;=5,L$5&lt;=6),
$B18="Tensar InterAx NX850",AND(L$5&gt;=5,L$5&lt;=6),
$B18="Tensar HX5.5",AND(L$5&gt;=1,L$5&lt;=5),
$B18="Tensar SS30",AND(L$5&gt;=3,L$5&lt;=5),
$B18="Tensar HX165",AND(L$5&gt;=4,L$5&lt;=6),
OR($B18="GS-GRID B20/20",$B18="GS-GRID B20/20L"),AND(L$5&gt;=1,L$5&lt;=3),
OR($B18="GS-GRID B30/30",$B18="GS-GRID B30/30L"),AND(L$5&gt;=3,L$5&lt;=5),
OR($B18="GS-GRID SX160",$B18="E'GRID T6"),AND(L$5&gt;=3,L$5&lt;=6),
OR($B18="GS-GRID B30/30XL",$B18="GS-GRID B40/40",$B18="GS-GRID B40/40L"),AND(L$5&gt;=4,L$5&lt;=6),
OR($B18="GS-GRID SX170",$B18="E'GRID T7"),AND(L$5&gt;=4,L$5&lt;=6),
$B18="E'GRID T9L",AND(L$5&gt;=4,L$5&lt;=6),
TRUE,FALSE
),"x","") )</f>
        <v/>
      </c>
      <c r="M18" s="12" t="str" cm="1">
        <f t="array" ref="M18">IF(OR($B18="Anden armering",$B18=""),"",IF(_xlfn.IFS(
$B18="Tensar TriAx TX150",AND(M$5&gt;=1,M$5&lt;=4),
$B18="Tensar TriAx TX160",AND(M$5&gt;=3,M$5&lt;=6),
$B18="Tensar InterAx NX750",AND(M$5&gt;=5,M$5&lt;=6),
$B18="Tensar InterAx NX850",AND(M$5&gt;=5,M$5&lt;=6),
$B18="Tensar HX5.5",AND(M$5&gt;=1,M$5&lt;=5),
$B18="Tensar SS30",AND(M$5&gt;=3,M$5&lt;=5),
$B18="Tensar HX165",AND(M$5&gt;=4,M$5&lt;=6),
OR($B18="GS-GRID B20/20",$B18="GS-GRID B20/20L"),AND(M$5&gt;=1,M$5&lt;=3),
OR($B18="GS-GRID B30/30",$B18="GS-GRID B30/30L"),AND(M$5&gt;=3,M$5&lt;=5),
OR($B18="GS-GRID SX160",$B18="E'GRID T6"),AND(M$5&gt;=3,M$5&lt;=6),
OR($B18="GS-GRID B30/30XL",$B18="GS-GRID B40/40",$B18="GS-GRID B40/40L"),AND(M$5&gt;=4,M$5&lt;=6),
OR($B18="GS-GRID SX170",$B18="E'GRID T7"),AND(M$5&gt;=4,M$5&lt;=6),
$B18="E'GRID T9L",AND(M$5&gt;=4,M$5&lt;=6),
TRUE,FALSE
),"x","") )</f>
        <v/>
      </c>
      <c r="N18" s="12" t="str" cm="1">
        <f t="array" ref="N18">IF(OR($B18="Anden armering",$B18=""),"",IF(_xlfn.IFS(
$B18="Tensar TriAx TX150",AND(N$5&gt;=1,N$5&lt;=4),
$B18="Tensar TriAx TX160",AND(N$5&gt;=3,N$5&lt;=6),
$B18="Tensar InterAx NX750",AND(N$5&gt;=5,N$5&lt;=6),
$B18="Tensar InterAx NX850",AND(N$5&gt;=5,N$5&lt;=6),
$B18="Tensar HX5.5",AND(N$5&gt;=1,N$5&lt;=5),
$B18="Tensar SS30",AND(N$5&gt;=3,N$5&lt;=5),
$B18="Tensar HX165",AND(N$5&gt;=4,N$5&lt;=6),
OR($B18="GS-GRID B20/20",$B18="GS-GRID B20/20L"),AND(N$5&gt;=1,N$5&lt;=3),
OR($B18="GS-GRID B30/30",$B18="GS-GRID B30/30L"),AND(N$5&gt;=3,N$5&lt;=5),
OR($B18="GS-GRID SX160",$B18="E'GRID T6"),AND(N$5&gt;=3,N$5&lt;=6),
OR($B18="GS-GRID B30/30XL",$B18="GS-GRID B40/40",$B18="GS-GRID B40/40L"),AND(N$5&gt;=4,N$5&lt;=6),
OR($B18="GS-GRID SX170",$B18="E'GRID T7"),AND(N$5&gt;=4,N$5&lt;=6),
$B18="E'GRID T9L",AND(N$5&gt;=4,N$5&lt;=6),
TRUE,FALSE
),"x","") )</f>
        <v/>
      </c>
      <c r="O18" s="12" t="str" cm="1">
        <f t="array" ref="O18">IF(OR($B18="Anden armering",$B18=""),"",IF(_xlfn.IFS(
$B18="Tensar TriAx TX150",AND(O$5&gt;=1,O$5&lt;=4),
$B18="Tensar TriAx TX160",AND(O$5&gt;=3,O$5&lt;=6),
$B18="Tensar InterAx NX750",AND(O$5&gt;=5,O$5&lt;=6),
$B18="Tensar InterAx NX850",AND(O$5&gt;=5,O$5&lt;=6),
$B18="Tensar HX5.5",AND(O$5&gt;=1,O$5&lt;=5),
$B18="Tensar SS30",AND(O$5&gt;=3,O$5&lt;=5),
$B18="Tensar HX165",AND(O$5&gt;=4,O$5&lt;=6),
OR($B18="GS-GRID B20/20",$B18="GS-GRID B20/20L"),AND(O$5&gt;=1,O$5&lt;=3),
OR($B18="GS-GRID B30/30",$B18="GS-GRID B30/30L"),AND(O$5&gt;=3,O$5&lt;=5),
OR($B18="GS-GRID SX160",$B18="E'GRID T6"),AND(O$5&gt;=3,O$5&lt;=6),
OR($B18="GS-GRID B30/30XL",$B18="GS-GRID B40/40",$B18="GS-GRID B40/40L"),AND(O$5&gt;=4,O$5&lt;=6),
OR($B18="GS-GRID SX170",$B18="E'GRID T7"),AND(O$5&gt;=4,O$5&lt;=6),
$B18="E'GRID T9L",AND(O$5&gt;=4,O$5&lt;=6),
TRUE,FALSE
),"x","") )</f>
        <v>x</v>
      </c>
      <c r="P18" s="12" t="str" cm="1">
        <f t="array" ref="P18">IF(OR($B18="Anden armering",$B18=""),"",IF(_xlfn.IFS(
$B18="Tensar TriAx TX150",AND(P$5&gt;=1,P$5&lt;=4),
$B18="Tensar TriAx TX160",AND(P$5&gt;=3,P$5&lt;=6),
$B18="Tensar InterAx NX750",AND(P$5&gt;=5,P$5&lt;=6),
$B18="Tensar InterAx NX850",AND(P$5&gt;=5,P$5&lt;=6),
$B18="Tensar HX5.5",AND(P$5&gt;=1,P$5&lt;=5),
$B18="Tensar SS30",AND(P$5&gt;=3,P$5&lt;=5),
$B18="Tensar HX165",AND(P$5&gt;=4,P$5&lt;=6),
OR($B18="GS-GRID B20/20",$B18="GS-GRID B20/20L"),AND(P$5&gt;=1,P$5&lt;=3),
OR($B18="GS-GRID B30/30",$B18="GS-GRID B30/30L"),AND(P$5&gt;=3,P$5&lt;=5),
OR($B18="GS-GRID SX160",$B18="E'GRID T6"),AND(P$5&gt;=3,P$5&lt;=6),
OR($B18="GS-GRID B30/30XL",$B18="GS-GRID B40/40",$B18="GS-GRID B40/40L"),AND(P$5&gt;=4,P$5&lt;=6),
OR($B18="GS-GRID SX170",$B18="E'GRID T7"),AND(P$5&gt;=4,P$5&lt;=6),
$B18="E'GRID T9L",AND(P$5&gt;=4,P$5&lt;=6),
TRUE,FALSE
),"x","") )</f>
        <v>x</v>
      </c>
      <c r="Q18" s="12" t="str" cm="1">
        <f t="array" ref="Q18">IF(OR($B18="Anden armering",$B18=""),"",IF(_xlfn.IFS(
$B18="Tensar TriAx TX150",AND(Q$5&gt;=1,Q$5&lt;=4),
$B18="Tensar TriAx TX160",AND(Q$5&gt;=3,Q$5&lt;=6),
$B18="Tensar InterAx NX750",AND(Q$5&gt;=5,Q$5&lt;=6),
$B18="Tensar InterAx NX850",AND(Q$5&gt;=5,Q$5&lt;=6),
$B18="Tensar HX5.5",AND(Q$5&gt;=1,Q$5&lt;=5),
$B18="Tensar SS30",AND(Q$5&gt;=3,Q$5&lt;=5),
$B18="Tensar HX165",AND(Q$5&gt;=4,Q$5&lt;=6),
OR($B18="GS-GRID B20/20",$B18="GS-GRID B20/20L"),AND(Q$5&gt;=1,Q$5&lt;=3),
OR($B18="GS-GRID B30/30",$B18="GS-GRID B30/30L"),AND(Q$5&gt;=3,Q$5&lt;=5),
OR($B18="GS-GRID SX160",$B18="E'GRID T6"),AND(Q$5&gt;=3,Q$5&lt;=6),
OR($B18="GS-GRID B30/30XL",$B18="GS-GRID B40/40",$B18="GS-GRID B40/40L"),AND(Q$5&gt;=4,Q$5&lt;=6),
OR($B18="GS-GRID SX170",$B18="E'GRID T7"),AND(Q$5&gt;=4,Q$5&lt;=6),
$B18="E'GRID T9L",AND(Q$5&gt;=4,Q$5&lt;=6),
TRUE,FALSE
),"x","") )</f>
        <v>x</v>
      </c>
    </row>
    <row r="19" spans="2:17" ht="21.75" customHeight="1" x14ac:dyDescent="0.25">
      <c r="B19" s="92" t="s">
        <v>292</v>
      </c>
      <c r="C19" s="12" t="s">
        <v>347</v>
      </c>
      <c r="D19" s="12" t="s">
        <v>342</v>
      </c>
      <c r="E19" s="83">
        <v>0</v>
      </c>
      <c r="F19" s="12" t="s">
        <v>350</v>
      </c>
      <c r="G19" s="12">
        <v>120</v>
      </c>
      <c r="H19" s="12">
        <v>40</v>
      </c>
      <c r="I19" s="12">
        <v>3.95</v>
      </c>
      <c r="J19" s="85"/>
      <c r="K19" s="12">
        <v>150</v>
      </c>
      <c r="L19" s="12" t="str" cm="1">
        <f t="array" ref="L19">IF(OR($B19="Anden armering",$B19=""),"",IF(_xlfn.IFS(
$B19="Tensar TriAx TX150",AND(L$5&gt;=1,L$5&lt;=4),
$B19="Tensar TriAx TX160",AND(L$5&gt;=3,L$5&lt;=6),
$B19="Tensar InterAx NX750",AND(L$5&gt;=5,L$5&lt;=6),
$B19="Tensar InterAx NX850",AND(L$5&gt;=5,L$5&lt;=6),
$B19="Tensar HX5.5",AND(L$5&gt;=1,L$5&lt;=5),
$B19="Tensar SS30",AND(L$5&gt;=3,L$5&lt;=5),
$B19="Tensar HX165",AND(L$5&gt;=4,L$5&lt;=6),
OR($B19="GS-GRID B20/20",$B19="GS-GRID B20/20L"),AND(L$5&gt;=1,L$5&lt;=3),
OR($B19="GS-GRID B30/30",$B19="GS-GRID B30/30L"),AND(L$5&gt;=3,L$5&lt;=5),
OR($B19="GS-GRID SX160",$B19="E'GRID T6"),AND(L$5&gt;=3,L$5&lt;=6),
OR($B19="GS-GRID B30/30XL",$B19="GS-GRID B40/40",$B19="GS-GRID B40/40L"),AND(L$5&gt;=4,L$5&lt;=6),
OR($B19="GS-GRID SX170",$B19="E'GRID T7"),AND(L$5&gt;=4,L$5&lt;=6),
$B19="E'GRID T9L",AND(L$5&gt;=4,L$5&lt;=6),
TRUE,FALSE
),"x","") )</f>
        <v/>
      </c>
      <c r="M19" s="12" t="str" cm="1">
        <f t="array" ref="M19">IF(OR($B19="Anden armering",$B19=""),"",IF(_xlfn.IFS(
$B19="Tensar TriAx TX150",AND(M$5&gt;=1,M$5&lt;=4),
$B19="Tensar TriAx TX160",AND(M$5&gt;=3,M$5&lt;=6),
$B19="Tensar InterAx NX750",AND(M$5&gt;=5,M$5&lt;=6),
$B19="Tensar InterAx NX850",AND(M$5&gt;=5,M$5&lt;=6),
$B19="Tensar HX5.5",AND(M$5&gt;=1,M$5&lt;=5),
$B19="Tensar SS30",AND(M$5&gt;=3,M$5&lt;=5),
$B19="Tensar HX165",AND(M$5&gt;=4,M$5&lt;=6),
OR($B19="GS-GRID B20/20",$B19="GS-GRID B20/20L"),AND(M$5&gt;=1,M$5&lt;=3),
OR($B19="GS-GRID B30/30",$B19="GS-GRID B30/30L"),AND(M$5&gt;=3,M$5&lt;=5),
OR($B19="GS-GRID SX160",$B19="E'GRID T6"),AND(M$5&gt;=3,M$5&lt;=6),
OR($B19="GS-GRID B30/30XL",$B19="GS-GRID B40/40",$B19="GS-GRID B40/40L"),AND(M$5&gt;=4,M$5&lt;=6),
OR($B19="GS-GRID SX170",$B19="E'GRID T7"),AND(M$5&gt;=4,M$5&lt;=6),
$B19="E'GRID T9L",AND(M$5&gt;=4,M$5&lt;=6),
TRUE,FALSE
),"x","") )</f>
        <v/>
      </c>
      <c r="N19" s="12" t="str" cm="1">
        <f t="array" ref="N19">IF(OR($B19="Anden armering",$B19=""),"",IF(_xlfn.IFS(
$B19="Tensar TriAx TX150",AND(N$5&gt;=1,N$5&lt;=4),
$B19="Tensar TriAx TX160",AND(N$5&gt;=3,N$5&lt;=6),
$B19="Tensar InterAx NX750",AND(N$5&gt;=5,N$5&lt;=6),
$B19="Tensar InterAx NX850",AND(N$5&gt;=5,N$5&lt;=6),
$B19="Tensar HX5.5",AND(N$5&gt;=1,N$5&lt;=5),
$B19="Tensar SS30",AND(N$5&gt;=3,N$5&lt;=5),
$B19="Tensar HX165",AND(N$5&gt;=4,N$5&lt;=6),
OR($B19="GS-GRID B20/20",$B19="GS-GRID B20/20L"),AND(N$5&gt;=1,N$5&lt;=3),
OR($B19="GS-GRID B30/30",$B19="GS-GRID B30/30L"),AND(N$5&gt;=3,N$5&lt;=5),
OR($B19="GS-GRID SX160",$B19="E'GRID T6"),AND(N$5&gt;=3,N$5&lt;=6),
OR($B19="GS-GRID B30/30XL",$B19="GS-GRID B40/40",$B19="GS-GRID B40/40L"),AND(N$5&gt;=4,N$5&lt;=6),
OR($B19="GS-GRID SX170",$B19="E'GRID T7"),AND(N$5&gt;=4,N$5&lt;=6),
$B19="E'GRID T9L",AND(N$5&gt;=4,N$5&lt;=6),
TRUE,FALSE
),"x","") )</f>
        <v/>
      </c>
      <c r="O19" s="12" t="str" cm="1">
        <f t="array" ref="O19">IF(OR($B19="Anden armering",$B19=""),"",IF(_xlfn.IFS(
$B19="Tensar TriAx TX150",AND(O$5&gt;=1,O$5&lt;=4),
$B19="Tensar TriAx TX160",AND(O$5&gt;=3,O$5&lt;=6),
$B19="Tensar InterAx NX750",AND(O$5&gt;=5,O$5&lt;=6),
$B19="Tensar InterAx NX850",AND(O$5&gt;=5,O$5&lt;=6),
$B19="Tensar HX5.5",AND(O$5&gt;=1,O$5&lt;=5),
$B19="Tensar SS30",AND(O$5&gt;=3,O$5&lt;=5),
$B19="Tensar HX165",AND(O$5&gt;=4,O$5&lt;=6),
OR($B19="GS-GRID B20/20",$B19="GS-GRID B20/20L"),AND(O$5&gt;=1,O$5&lt;=3),
OR($B19="GS-GRID B30/30",$B19="GS-GRID B30/30L"),AND(O$5&gt;=3,O$5&lt;=5),
OR($B19="GS-GRID SX160",$B19="E'GRID T6"),AND(O$5&gt;=3,O$5&lt;=6),
OR($B19="GS-GRID B30/30XL",$B19="GS-GRID B40/40",$B19="GS-GRID B40/40L"),AND(O$5&gt;=4,O$5&lt;=6),
OR($B19="GS-GRID SX170",$B19="E'GRID T7"),AND(O$5&gt;=4,O$5&lt;=6),
$B19="E'GRID T9L",AND(O$5&gt;=4,O$5&lt;=6),
TRUE,FALSE
),"x","") )</f>
        <v>x</v>
      </c>
      <c r="P19" s="12" t="str" cm="1">
        <f t="array" ref="P19">IF(OR($B19="Anden armering",$B19=""),"",IF(_xlfn.IFS(
$B19="Tensar TriAx TX150",AND(P$5&gt;=1,P$5&lt;=4),
$B19="Tensar TriAx TX160",AND(P$5&gt;=3,P$5&lt;=6),
$B19="Tensar InterAx NX750",AND(P$5&gt;=5,P$5&lt;=6),
$B19="Tensar InterAx NX850",AND(P$5&gt;=5,P$5&lt;=6),
$B19="Tensar HX5.5",AND(P$5&gt;=1,P$5&lt;=5),
$B19="Tensar SS30",AND(P$5&gt;=3,P$5&lt;=5),
$B19="Tensar HX165",AND(P$5&gt;=4,P$5&lt;=6),
OR($B19="GS-GRID B20/20",$B19="GS-GRID B20/20L"),AND(P$5&gt;=1,P$5&lt;=3),
OR($B19="GS-GRID B30/30",$B19="GS-GRID B30/30L"),AND(P$5&gt;=3,P$5&lt;=5),
OR($B19="GS-GRID SX160",$B19="E'GRID T6"),AND(P$5&gt;=3,P$5&lt;=6),
OR($B19="GS-GRID B30/30XL",$B19="GS-GRID B40/40",$B19="GS-GRID B40/40L"),AND(P$5&gt;=4,P$5&lt;=6),
OR($B19="GS-GRID SX170",$B19="E'GRID T7"),AND(P$5&gt;=4,P$5&lt;=6),
$B19="E'GRID T9L",AND(P$5&gt;=4,P$5&lt;=6),
TRUE,FALSE
),"x","") )</f>
        <v>x</v>
      </c>
      <c r="Q19" s="12" t="str" cm="1">
        <f t="array" ref="Q19">IF(OR($B19="Anden armering",$B19=""),"",IF(_xlfn.IFS(
$B19="Tensar TriAx TX150",AND(Q$5&gt;=1,Q$5&lt;=4),
$B19="Tensar TriAx TX160",AND(Q$5&gt;=3,Q$5&lt;=6),
$B19="Tensar InterAx NX750",AND(Q$5&gt;=5,Q$5&lt;=6),
$B19="Tensar InterAx NX850",AND(Q$5&gt;=5,Q$5&lt;=6),
$B19="Tensar HX5.5",AND(Q$5&gt;=1,Q$5&lt;=5),
$B19="Tensar SS30",AND(Q$5&gt;=3,Q$5&lt;=5),
$B19="Tensar HX165",AND(Q$5&gt;=4,Q$5&lt;=6),
OR($B19="GS-GRID B20/20",$B19="GS-GRID B20/20L"),AND(Q$5&gt;=1,Q$5&lt;=3),
OR($B19="GS-GRID B30/30",$B19="GS-GRID B30/30L"),AND(Q$5&gt;=3,Q$5&lt;=5),
OR($B19="GS-GRID SX160",$B19="E'GRID T6"),AND(Q$5&gt;=3,Q$5&lt;=6),
OR($B19="GS-GRID B30/30XL",$B19="GS-GRID B40/40",$B19="GS-GRID B40/40L"),AND(Q$5&gt;=4,Q$5&lt;=6),
OR($B19="GS-GRID SX170",$B19="E'GRID T7"),AND(Q$5&gt;=4,Q$5&lt;=6),
$B19="E'GRID T9L",AND(Q$5&gt;=4,Q$5&lt;=6),
TRUE,FALSE
),"x","") )</f>
        <v>x</v>
      </c>
    </row>
    <row r="20" spans="2:17" ht="21.75" customHeight="1" x14ac:dyDescent="0.25">
      <c r="B20" s="99" t="s">
        <v>293</v>
      </c>
      <c r="C20" s="100" t="s">
        <v>347</v>
      </c>
      <c r="D20" s="100" t="s">
        <v>344</v>
      </c>
      <c r="E20" s="101">
        <v>0</v>
      </c>
      <c r="F20" s="100" t="s">
        <v>353</v>
      </c>
      <c r="G20" s="100">
        <v>80</v>
      </c>
      <c r="H20" s="100">
        <v>20</v>
      </c>
      <c r="I20" s="100">
        <v>3.95</v>
      </c>
      <c r="J20" s="102" t="s">
        <v>294</v>
      </c>
      <c r="K20" s="13">
        <v>80</v>
      </c>
      <c r="L20" s="12" t="str" cm="1">
        <f t="array" ref="L20">IF(OR($B20="Anden armering",$B20=""),"",IF(_xlfn.IFS(
$B20="Tensar TriAx TX150",AND(L$5&gt;=1,L$5&lt;=4),
$B20="Tensar TriAx TX160",AND(L$5&gt;=3,L$5&lt;=6),
$B20="Tensar InterAx NX750",AND(L$5&gt;=5,L$5&lt;=6),
$B20="Tensar InterAx NX850",AND(L$5&gt;=5,L$5&lt;=6),
$B20="Tensar HX5.5",AND(L$5&gt;=1,L$5&lt;=5),
$B20="Tensar SS30",AND(L$5&gt;=3,L$5&lt;=5),
$B20="Tensar HX165",AND(L$5&gt;=4,L$5&lt;=6),
OR($B20="GS-GRID B20/20",$B20="GS-GRID B20/20L"),AND(L$5&gt;=1,L$5&lt;=3),
OR($B20="GS-GRID B30/30",$B20="GS-GRID B30/30L"),AND(L$5&gt;=3,L$5&lt;=5),
OR($B20="GS-GRID SX160",$B20="E'GRID T6"),AND(L$5&gt;=3,L$5&lt;=6),
OR($B20="GS-GRID B30/30XL",$B20="GS-GRID B40/40",$B20="GS-GRID B40/40L"),AND(L$5&gt;=4,L$5&lt;=6),
OR($B20="GS-GRID SX170",$B20="E'GRID T7"),AND(L$5&gt;=4,L$5&lt;=6),
$B20="E'GRID T9L",AND(L$5&gt;=4,L$5&lt;=6),
TRUE,FALSE
),"x","") )</f>
        <v/>
      </c>
      <c r="M20" s="12" t="str" cm="1">
        <f t="array" ref="M20">IF(OR($B20="Anden armering",$B20=""),"",IF(_xlfn.IFS(
$B20="Tensar TriAx TX150",AND(M$5&gt;=1,M$5&lt;=4),
$B20="Tensar TriAx TX160",AND(M$5&gt;=3,M$5&lt;=6),
$B20="Tensar InterAx NX750",AND(M$5&gt;=5,M$5&lt;=6),
$B20="Tensar InterAx NX850",AND(M$5&gt;=5,M$5&lt;=6),
$B20="Tensar HX5.5",AND(M$5&gt;=1,M$5&lt;=5),
$B20="Tensar SS30",AND(M$5&gt;=3,M$5&lt;=5),
$B20="Tensar HX165",AND(M$5&gt;=4,M$5&lt;=6),
OR($B20="GS-GRID B20/20",$B20="GS-GRID B20/20L"),AND(M$5&gt;=1,M$5&lt;=3),
OR($B20="GS-GRID B30/30",$B20="GS-GRID B30/30L"),AND(M$5&gt;=3,M$5&lt;=5),
OR($B20="GS-GRID SX160",$B20="E'GRID T6"),AND(M$5&gt;=3,M$5&lt;=6),
OR($B20="GS-GRID B30/30XL",$B20="GS-GRID B40/40",$B20="GS-GRID B40/40L"),AND(M$5&gt;=4,M$5&lt;=6),
OR($B20="GS-GRID SX170",$B20="E'GRID T7"),AND(M$5&gt;=4,M$5&lt;=6),
$B20="E'GRID T9L",AND(M$5&gt;=4,M$5&lt;=6),
TRUE,FALSE
),"x","") )</f>
        <v/>
      </c>
      <c r="N20" s="12" t="str" cm="1">
        <f t="array" ref="N20">IF(OR($B20="Anden armering",$B20=""),"",IF(_xlfn.IFS(
$B20="Tensar TriAx TX150",AND(N$5&gt;=1,N$5&lt;=4),
$B20="Tensar TriAx TX160",AND(N$5&gt;=3,N$5&lt;=6),
$B20="Tensar InterAx NX750",AND(N$5&gt;=5,N$5&lt;=6),
$B20="Tensar InterAx NX850",AND(N$5&gt;=5,N$5&lt;=6),
$B20="Tensar HX5.5",AND(N$5&gt;=1,N$5&lt;=5),
$B20="Tensar SS30",AND(N$5&gt;=3,N$5&lt;=5),
$B20="Tensar HX165",AND(N$5&gt;=4,N$5&lt;=6),
OR($B20="GS-GRID B20/20",$B20="GS-GRID B20/20L"),AND(N$5&gt;=1,N$5&lt;=3),
OR($B20="GS-GRID B30/30",$B20="GS-GRID B30/30L"),AND(N$5&gt;=3,N$5&lt;=5),
OR($B20="GS-GRID SX160",$B20="E'GRID T6"),AND(N$5&gt;=3,N$5&lt;=6),
OR($B20="GS-GRID B30/30XL",$B20="GS-GRID B40/40",$B20="GS-GRID B40/40L"),AND(N$5&gt;=4,N$5&lt;=6),
OR($B20="GS-GRID SX170",$B20="E'GRID T7"),AND(N$5&gt;=4,N$5&lt;=6),
$B20="E'GRID T9L",AND(N$5&gt;=4,N$5&lt;=6),
TRUE,FALSE
),"x","") )</f>
        <v>x</v>
      </c>
      <c r="O20" s="12" t="str" cm="1">
        <f t="array" ref="O20">IF(OR($B20="Anden armering",$B20=""),"",IF(_xlfn.IFS(
$B20="Tensar TriAx TX150",AND(O$5&gt;=1,O$5&lt;=4),
$B20="Tensar TriAx TX160",AND(O$5&gt;=3,O$5&lt;=6),
$B20="Tensar InterAx NX750",AND(O$5&gt;=5,O$5&lt;=6),
$B20="Tensar InterAx NX850",AND(O$5&gt;=5,O$5&lt;=6),
$B20="Tensar HX5.5",AND(O$5&gt;=1,O$5&lt;=5),
$B20="Tensar SS30",AND(O$5&gt;=3,O$5&lt;=5),
$B20="Tensar HX165",AND(O$5&gt;=4,O$5&lt;=6),
OR($B20="GS-GRID B20/20",$B20="GS-GRID B20/20L"),AND(O$5&gt;=1,O$5&lt;=3),
OR($B20="GS-GRID B30/30",$B20="GS-GRID B30/30L"),AND(O$5&gt;=3,O$5&lt;=5),
OR($B20="GS-GRID SX160",$B20="E'GRID T6"),AND(O$5&gt;=3,O$5&lt;=6),
OR($B20="GS-GRID B30/30XL",$B20="GS-GRID B40/40",$B20="GS-GRID B40/40L"),AND(O$5&gt;=4,O$5&lt;=6),
OR($B20="GS-GRID SX170",$B20="E'GRID T7"),AND(O$5&gt;=4,O$5&lt;=6),
$B20="E'GRID T9L",AND(O$5&gt;=4,O$5&lt;=6),
TRUE,FALSE
),"x","") )</f>
        <v>x</v>
      </c>
      <c r="P20" s="12" t="str" cm="1">
        <f t="array" ref="P20">IF(OR($B20="Anden armering",$B20=""),"",IF(_xlfn.IFS(
$B20="Tensar TriAx TX150",AND(P$5&gt;=1,P$5&lt;=4),
$B20="Tensar TriAx TX160",AND(P$5&gt;=3,P$5&lt;=6),
$B20="Tensar InterAx NX750",AND(P$5&gt;=5,P$5&lt;=6),
$B20="Tensar InterAx NX850",AND(P$5&gt;=5,P$5&lt;=6),
$B20="Tensar HX5.5",AND(P$5&gt;=1,P$5&lt;=5),
$B20="Tensar SS30",AND(P$5&gt;=3,P$5&lt;=5),
$B20="Tensar HX165",AND(P$5&gt;=4,P$5&lt;=6),
OR($B20="GS-GRID B20/20",$B20="GS-GRID B20/20L"),AND(P$5&gt;=1,P$5&lt;=3),
OR($B20="GS-GRID B30/30",$B20="GS-GRID B30/30L"),AND(P$5&gt;=3,P$5&lt;=5),
OR($B20="GS-GRID SX160",$B20="E'GRID T6"),AND(P$5&gt;=3,P$5&lt;=6),
OR($B20="GS-GRID B30/30XL",$B20="GS-GRID B40/40",$B20="GS-GRID B40/40L"),AND(P$5&gt;=4,P$5&lt;=6),
OR($B20="GS-GRID SX170",$B20="E'GRID T7"),AND(P$5&gt;=4,P$5&lt;=6),
$B20="E'GRID T9L",AND(P$5&gt;=4,P$5&lt;=6),
TRUE,FALSE
),"x","") )</f>
        <v>x</v>
      </c>
      <c r="Q20" s="12" t="str" cm="1">
        <f t="array" ref="Q20">IF(OR($B20="Anden armering",$B20=""),"",IF(_xlfn.IFS(
$B20="Tensar TriAx TX150",AND(Q$5&gt;=1,Q$5&lt;=4),
$B20="Tensar TriAx TX160",AND(Q$5&gt;=3,Q$5&lt;=6),
$B20="Tensar InterAx NX750",AND(Q$5&gt;=5,Q$5&lt;=6),
$B20="Tensar InterAx NX850",AND(Q$5&gt;=5,Q$5&lt;=6),
$B20="Tensar HX5.5",AND(Q$5&gt;=1,Q$5&lt;=5),
$B20="Tensar SS30",AND(Q$5&gt;=3,Q$5&lt;=5),
$B20="Tensar HX165",AND(Q$5&gt;=4,Q$5&lt;=6),
OR($B20="GS-GRID B20/20",$B20="GS-GRID B20/20L"),AND(Q$5&gt;=1,Q$5&lt;=3),
OR($B20="GS-GRID B30/30",$B20="GS-GRID B30/30L"),AND(Q$5&gt;=3,Q$5&lt;=5),
OR($B20="GS-GRID SX160",$B20="E'GRID T6"),AND(Q$5&gt;=3,Q$5&lt;=6),
OR($B20="GS-GRID B30/30XL",$B20="GS-GRID B40/40",$B20="GS-GRID B40/40L"),AND(Q$5&gt;=4,Q$5&lt;=6),
OR($B20="GS-GRID SX170",$B20="E'GRID T7"),AND(Q$5&gt;=4,Q$5&lt;=6),
$B20="E'GRID T9L",AND(Q$5&gt;=4,Q$5&lt;=6),
TRUE,FALSE
),"x","") )</f>
        <v>x</v>
      </c>
    </row>
    <row r="21" spans="2:17" ht="21.75" customHeight="1" x14ac:dyDescent="0.25">
      <c r="B21" s="92" t="s">
        <v>295</v>
      </c>
      <c r="C21" s="12" t="s">
        <v>347</v>
      </c>
      <c r="D21" s="12" t="s">
        <v>344</v>
      </c>
      <c r="E21" s="83">
        <v>-0.1</v>
      </c>
      <c r="F21" s="12" t="s">
        <v>353</v>
      </c>
      <c r="G21" s="12">
        <v>150</v>
      </c>
      <c r="H21" s="12">
        <v>20</v>
      </c>
      <c r="I21" s="12">
        <v>3.95</v>
      </c>
      <c r="J21" s="85"/>
      <c r="K21" s="12" t="s">
        <v>569</v>
      </c>
      <c r="L21" s="12" t="str" cm="1">
        <f t="array" ref="L21">IF(OR($B21="Anden armering",$B21=""),"",IF(_xlfn.IFS(
$B21="Tensar TriAx TX150",AND(L$5&gt;=1,L$5&lt;=4),
$B21="Tensar TriAx TX160",AND(L$5&gt;=3,L$5&lt;=6),
$B21="Tensar InterAx NX750",AND(L$5&gt;=5,L$5&lt;=6),
$B21="Tensar InterAx NX850",AND(L$5&gt;=5,L$5&lt;=6),
$B21="Tensar HX5.5",AND(L$5&gt;=1,L$5&lt;=5),
$B21="Tensar SS30",AND(L$5&gt;=3,L$5&lt;=5),
$B21="Tensar HX165",AND(L$5&gt;=4,L$5&lt;=6),
OR($B21="GS-GRID B20/20",$B21="GS-GRID B20/20L"),AND(L$5&gt;=1,L$5&lt;=3),
OR($B21="GS-GRID B30/30",$B21="GS-GRID B30/30L"),AND(L$5&gt;=3,L$5&lt;=5),
OR($B21="GS-GRID SX160",$B21="E'GRID T6"),AND(L$5&gt;=3,L$5&lt;=6),
OR($B21="GS-GRID B30/30XL",$B21="GS-GRID B40/40",$B21="GS-GRID B40/40L"),AND(L$5&gt;=4,L$5&lt;=6),
OR($B21="GS-GRID SX170",$B21="E'GRID T7"),AND(L$5&gt;=4,L$5&lt;=6),
$B21="E'GRID T9L",AND(L$5&gt;=4,L$5&lt;=6),
TRUE,FALSE
),"x","") )</f>
        <v/>
      </c>
      <c r="M21" s="12" t="str" cm="1">
        <f t="array" ref="M21">IF(OR($B21="Anden armering",$B21=""),"",IF(_xlfn.IFS(
$B21="Tensar TriAx TX150",AND(M$5&gt;=1,M$5&lt;=4),
$B21="Tensar TriAx TX160",AND(M$5&gt;=3,M$5&lt;=6),
$B21="Tensar InterAx NX750",AND(M$5&gt;=5,M$5&lt;=6),
$B21="Tensar InterAx NX850",AND(M$5&gt;=5,M$5&lt;=6),
$B21="Tensar HX5.5",AND(M$5&gt;=1,M$5&lt;=5),
$B21="Tensar SS30",AND(M$5&gt;=3,M$5&lt;=5),
$B21="Tensar HX165",AND(M$5&gt;=4,M$5&lt;=6),
OR($B21="GS-GRID B20/20",$B21="GS-GRID B20/20L"),AND(M$5&gt;=1,M$5&lt;=3),
OR($B21="GS-GRID B30/30",$B21="GS-GRID B30/30L"),AND(M$5&gt;=3,M$5&lt;=5),
OR($B21="GS-GRID SX160",$B21="E'GRID T6"),AND(M$5&gt;=3,M$5&lt;=6),
OR($B21="GS-GRID B30/30XL",$B21="GS-GRID B40/40",$B21="GS-GRID B40/40L"),AND(M$5&gt;=4,M$5&lt;=6),
OR($B21="GS-GRID SX170",$B21="E'GRID T7"),AND(M$5&gt;=4,M$5&lt;=6),
$B21="E'GRID T9L",AND(M$5&gt;=4,M$5&lt;=6),
TRUE,FALSE
),"x","") )</f>
        <v/>
      </c>
      <c r="N21" s="12" t="str" cm="1">
        <f t="array" ref="N21">IF(OR($B21="Anden armering",$B21=""),"",IF(_xlfn.IFS(
$B21="Tensar TriAx TX150",AND(N$5&gt;=1,N$5&lt;=4),
$B21="Tensar TriAx TX160",AND(N$5&gt;=3,N$5&lt;=6),
$B21="Tensar InterAx NX750",AND(N$5&gt;=5,N$5&lt;=6),
$B21="Tensar InterAx NX850",AND(N$5&gt;=5,N$5&lt;=6),
$B21="Tensar HX5.5",AND(N$5&gt;=1,N$5&lt;=5),
$B21="Tensar SS30",AND(N$5&gt;=3,N$5&lt;=5),
$B21="Tensar HX165",AND(N$5&gt;=4,N$5&lt;=6),
OR($B21="GS-GRID B20/20",$B21="GS-GRID B20/20L"),AND(N$5&gt;=1,N$5&lt;=3),
OR($B21="GS-GRID B30/30",$B21="GS-GRID B30/30L"),AND(N$5&gt;=3,N$5&lt;=5),
OR($B21="GS-GRID SX160",$B21="E'GRID T6"),AND(N$5&gt;=3,N$5&lt;=6),
OR($B21="GS-GRID B30/30XL",$B21="GS-GRID B40/40",$B21="GS-GRID B40/40L"),AND(N$5&gt;=4,N$5&lt;=6),
OR($B21="GS-GRID SX170",$B21="E'GRID T7"),AND(N$5&gt;=4,N$5&lt;=6),
$B21="E'GRID T9L",AND(N$5&gt;=4,N$5&lt;=6),
TRUE,FALSE
),"x","") )</f>
        <v/>
      </c>
      <c r="O21" s="12" t="str" cm="1">
        <f t="array" ref="O21">IF(OR($B21="Anden armering",$B21=""),"",IF(_xlfn.IFS(
$B21="Tensar TriAx TX150",AND(O$5&gt;=1,O$5&lt;=4),
$B21="Tensar TriAx TX160",AND(O$5&gt;=3,O$5&lt;=6),
$B21="Tensar InterAx NX750",AND(O$5&gt;=5,O$5&lt;=6),
$B21="Tensar InterAx NX850",AND(O$5&gt;=5,O$5&lt;=6),
$B21="Tensar HX5.5",AND(O$5&gt;=1,O$5&lt;=5),
$B21="Tensar SS30",AND(O$5&gt;=3,O$5&lt;=5),
$B21="Tensar HX165",AND(O$5&gt;=4,O$5&lt;=6),
OR($B21="GS-GRID B20/20",$B21="GS-GRID B20/20L"),AND(O$5&gt;=1,O$5&lt;=3),
OR($B21="GS-GRID B30/30",$B21="GS-GRID B30/30L"),AND(O$5&gt;=3,O$5&lt;=5),
OR($B21="GS-GRID SX160",$B21="E'GRID T6"),AND(O$5&gt;=3,O$5&lt;=6),
OR($B21="GS-GRID B30/30XL",$B21="GS-GRID B40/40",$B21="GS-GRID B40/40L"),AND(O$5&gt;=4,O$5&lt;=6),
OR($B21="GS-GRID SX170",$B21="E'GRID T7"),AND(O$5&gt;=4,O$5&lt;=6),
$B21="E'GRID T9L",AND(O$5&gt;=4,O$5&lt;=6),
TRUE,FALSE
),"x","") )</f>
        <v>x</v>
      </c>
      <c r="P21" s="12" t="str" cm="1">
        <f t="array" ref="P21">IF(OR($B21="Anden armering",$B21=""),"",IF(_xlfn.IFS(
$B21="Tensar TriAx TX150",AND(P$5&gt;=1,P$5&lt;=4),
$B21="Tensar TriAx TX160",AND(P$5&gt;=3,P$5&lt;=6),
$B21="Tensar InterAx NX750",AND(P$5&gt;=5,P$5&lt;=6),
$B21="Tensar InterAx NX850",AND(P$5&gt;=5,P$5&lt;=6),
$B21="Tensar HX5.5",AND(P$5&gt;=1,P$5&lt;=5),
$B21="Tensar SS30",AND(P$5&gt;=3,P$5&lt;=5),
$B21="Tensar HX165",AND(P$5&gt;=4,P$5&lt;=6),
OR($B21="GS-GRID B20/20",$B21="GS-GRID B20/20L"),AND(P$5&gt;=1,P$5&lt;=3),
OR($B21="GS-GRID B30/30",$B21="GS-GRID B30/30L"),AND(P$5&gt;=3,P$5&lt;=5),
OR($B21="GS-GRID SX160",$B21="E'GRID T6"),AND(P$5&gt;=3,P$5&lt;=6),
OR($B21="GS-GRID B30/30XL",$B21="GS-GRID B40/40",$B21="GS-GRID B40/40L"),AND(P$5&gt;=4,P$5&lt;=6),
OR($B21="GS-GRID SX170",$B21="E'GRID T7"),AND(P$5&gt;=4,P$5&lt;=6),
$B21="E'GRID T9L",AND(P$5&gt;=4,P$5&lt;=6),
TRUE,FALSE
),"x","") )</f>
        <v>x</v>
      </c>
      <c r="Q21" s="12" t="str" cm="1">
        <f t="array" ref="Q21">IF(OR($B21="Anden armering",$B21=""),"",IF(_xlfn.IFS(
$B21="Tensar TriAx TX150",AND(Q$5&gt;=1,Q$5&lt;=4),
$B21="Tensar TriAx TX160",AND(Q$5&gt;=3,Q$5&lt;=6),
$B21="Tensar InterAx NX750",AND(Q$5&gt;=5,Q$5&lt;=6),
$B21="Tensar InterAx NX850",AND(Q$5&gt;=5,Q$5&lt;=6),
$B21="Tensar HX5.5",AND(Q$5&gt;=1,Q$5&lt;=5),
$B21="Tensar SS30",AND(Q$5&gt;=3,Q$5&lt;=5),
$B21="Tensar HX165",AND(Q$5&gt;=4,Q$5&lt;=6),
OR($B21="GS-GRID B20/20",$B21="GS-GRID B20/20L"),AND(Q$5&gt;=1,Q$5&lt;=3),
OR($B21="GS-GRID B30/30",$B21="GS-GRID B30/30L"),AND(Q$5&gt;=3,Q$5&lt;=5),
OR($B21="GS-GRID SX160",$B21="E'GRID T6"),AND(Q$5&gt;=3,Q$5&lt;=6),
OR($B21="GS-GRID B30/30XL",$B21="GS-GRID B40/40",$B21="GS-GRID B40/40L"),AND(Q$5&gt;=4,Q$5&lt;=6),
OR($B21="GS-GRID SX170",$B21="E'GRID T7"),AND(Q$5&gt;=4,Q$5&lt;=6),
$B21="E'GRID T9L",AND(Q$5&gt;=4,Q$5&lt;=6),
TRUE,FALSE
),"x","") )</f>
        <v>x</v>
      </c>
    </row>
    <row r="22" spans="2:17" ht="21.75" customHeight="1" x14ac:dyDescent="0.25">
      <c r="B22" s="92" t="s">
        <v>296</v>
      </c>
      <c r="C22" s="12" t="s">
        <v>354</v>
      </c>
      <c r="D22" s="12" t="s">
        <v>344</v>
      </c>
      <c r="E22" s="83">
        <v>0</v>
      </c>
      <c r="F22" s="12" t="s">
        <v>353</v>
      </c>
      <c r="G22" s="12">
        <v>80</v>
      </c>
      <c r="H22" s="12">
        <v>20</v>
      </c>
      <c r="I22" s="12">
        <v>3.9</v>
      </c>
      <c r="J22" s="85" t="s">
        <v>297</v>
      </c>
      <c r="K22" s="12">
        <v>80</v>
      </c>
      <c r="L22" s="12" t="str" cm="1">
        <f t="array" ref="L22">IF(OR($B22="Anden armering",$B22=""),"",IF(_xlfn.IFS(
$B22="Tensar TriAx TX150",AND(L$5&gt;=1,L$5&lt;=4),
$B22="Tensar TriAx TX160",AND(L$5&gt;=3,L$5&lt;=6),
$B22="Tensar InterAx NX750",AND(L$5&gt;=5,L$5&lt;=6),
$B22="Tensar InterAx NX850",AND(L$5&gt;=5,L$5&lt;=6),
$B22="Tensar HX5.5",AND(L$5&gt;=1,L$5&lt;=5),
$B22="Tensar SS30",AND(L$5&gt;=3,L$5&lt;=5),
$B22="Tensar HX165",AND(L$5&gt;=4,L$5&lt;=6),
OR($B22="GS-GRID B20/20",$B22="GS-GRID B20/20L"),AND(L$5&gt;=1,L$5&lt;=3),
OR($B22="GS-GRID B30/30",$B22="GS-GRID B30/30L"),AND(L$5&gt;=3,L$5&lt;=5),
OR($B22="GS-GRID SX160",$B22="E'GRID T6"),AND(L$5&gt;=3,L$5&lt;=6),
OR($B22="GS-GRID B30/30XL",$B22="GS-GRID B40/40",$B22="GS-GRID B40/40L"),AND(L$5&gt;=4,L$5&lt;=6),
OR($B22="GS-GRID SX170",$B22="E'GRID T7"),AND(L$5&gt;=4,L$5&lt;=6),
$B22="E'GRID T9L",AND(L$5&gt;=4,L$5&lt;=6),
TRUE,FALSE
),"x","") )</f>
        <v/>
      </c>
      <c r="M22" s="12" t="str" cm="1">
        <f t="array" ref="M22">IF(OR($B22="Anden armering",$B22=""),"",IF(_xlfn.IFS(
$B22="Tensar TriAx TX150",AND(M$5&gt;=1,M$5&lt;=4),
$B22="Tensar TriAx TX160",AND(M$5&gt;=3,M$5&lt;=6),
$B22="Tensar InterAx NX750",AND(M$5&gt;=5,M$5&lt;=6),
$B22="Tensar InterAx NX850",AND(M$5&gt;=5,M$5&lt;=6),
$B22="Tensar HX5.5",AND(M$5&gt;=1,M$5&lt;=5),
$B22="Tensar SS30",AND(M$5&gt;=3,M$5&lt;=5),
$B22="Tensar HX165",AND(M$5&gt;=4,M$5&lt;=6),
OR($B22="GS-GRID B20/20",$B22="GS-GRID B20/20L"),AND(M$5&gt;=1,M$5&lt;=3),
OR($B22="GS-GRID B30/30",$B22="GS-GRID B30/30L"),AND(M$5&gt;=3,M$5&lt;=5),
OR($B22="GS-GRID SX160",$B22="E'GRID T6"),AND(M$5&gt;=3,M$5&lt;=6),
OR($B22="GS-GRID B30/30XL",$B22="GS-GRID B40/40",$B22="GS-GRID B40/40L"),AND(M$5&gt;=4,M$5&lt;=6),
OR($B22="GS-GRID SX170",$B22="E'GRID T7"),AND(M$5&gt;=4,M$5&lt;=6),
$B22="E'GRID T9L",AND(M$5&gt;=4,M$5&lt;=6),
TRUE,FALSE
),"x","") )</f>
        <v/>
      </c>
      <c r="N22" s="12" t="str" cm="1">
        <f t="array" ref="N22">IF(OR($B22="Anden armering",$B22=""),"",IF(_xlfn.IFS(
$B22="Tensar TriAx TX150",AND(N$5&gt;=1,N$5&lt;=4),
$B22="Tensar TriAx TX160",AND(N$5&gt;=3,N$5&lt;=6),
$B22="Tensar InterAx NX750",AND(N$5&gt;=5,N$5&lt;=6),
$B22="Tensar InterAx NX850",AND(N$5&gt;=5,N$5&lt;=6),
$B22="Tensar HX5.5",AND(N$5&gt;=1,N$5&lt;=5),
$B22="Tensar SS30",AND(N$5&gt;=3,N$5&lt;=5),
$B22="Tensar HX165",AND(N$5&gt;=4,N$5&lt;=6),
OR($B22="GS-GRID B20/20",$B22="GS-GRID B20/20L"),AND(N$5&gt;=1,N$5&lt;=3),
OR($B22="GS-GRID B30/30",$B22="GS-GRID B30/30L"),AND(N$5&gt;=3,N$5&lt;=5),
OR($B22="GS-GRID SX160",$B22="E'GRID T6"),AND(N$5&gt;=3,N$5&lt;=6),
OR($B22="GS-GRID B30/30XL",$B22="GS-GRID B40/40",$B22="GS-GRID B40/40L"),AND(N$5&gt;=4,N$5&lt;=6),
OR($B22="GS-GRID SX170",$B22="E'GRID T7"),AND(N$5&gt;=4,N$5&lt;=6),
$B22="E'GRID T9L",AND(N$5&gt;=4,N$5&lt;=6),
TRUE,FALSE
),"x","") )</f>
        <v>x</v>
      </c>
      <c r="O22" s="12" t="str" cm="1">
        <f t="array" ref="O22">IF(OR($B22="Anden armering",$B22=""),"",IF(_xlfn.IFS(
$B22="Tensar TriAx TX150",AND(O$5&gt;=1,O$5&lt;=4),
$B22="Tensar TriAx TX160",AND(O$5&gt;=3,O$5&lt;=6),
$B22="Tensar InterAx NX750",AND(O$5&gt;=5,O$5&lt;=6),
$B22="Tensar InterAx NX850",AND(O$5&gt;=5,O$5&lt;=6),
$B22="Tensar HX5.5",AND(O$5&gt;=1,O$5&lt;=5),
$B22="Tensar SS30",AND(O$5&gt;=3,O$5&lt;=5),
$B22="Tensar HX165",AND(O$5&gt;=4,O$5&lt;=6),
OR($B22="GS-GRID B20/20",$B22="GS-GRID B20/20L"),AND(O$5&gt;=1,O$5&lt;=3),
OR($B22="GS-GRID B30/30",$B22="GS-GRID B30/30L"),AND(O$5&gt;=3,O$5&lt;=5),
OR($B22="GS-GRID SX160",$B22="E'GRID T6"),AND(O$5&gt;=3,O$5&lt;=6),
OR($B22="GS-GRID B30/30XL",$B22="GS-GRID B40/40",$B22="GS-GRID B40/40L"),AND(O$5&gt;=4,O$5&lt;=6),
OR($B22="GS-GRID SX170",$B22="E'GRID T7"),AND(O$5&gt;=4,O$5&lt;=6),
$B22="E'GRID T9L",AND(O$5&gt;=4,O$5&lt;=6),
TRUE,FALSE
),"x","") )</f>
        <v>x</v>
      </c>
      <c r="P22" s="12" t="str" cm="1">
        <f t="array" ref="P22">IF(OR($B22="Anden armering",$B22=""),"",IF(_xlfn.IFS(
$B22="Tensar TriAx TX150",AND(P$5&gt;=1,P$5&lt;=4),
$B22="Tensar TriAx TX160",AND(P$5&gt;=3,P$5&lt;=6),
$B22="Tensar InterAx NX750",AND(P$5&gt;=5,P$5&lt;=6),
$B22="Tensar InterAx NX850",AND(P$5&gt;=5,P$5&lt;=6),
$B22="Tensar HX5.5",AND(P$5&gt;=1,P$5&lt;=5),
$B22="Tensar SS30",AND(P$5&gt;=3,P$5&lt;=5),
$B22="Tensar HX165",AND(P$5&gt;=4,P$5&lt;=6),
OR($B22="GS-GRID B20/20",$B22="GS-GRID B20/20L"),AND(P$5&gt;=1,P$5&lt;=3),
OR($B22="GS-GRID B30/30",$B22="GS-GRID B30/30L"),AND(P$5&gt;=3,P$5&lt;=5),
OR($B22="GS-GRID SX160",$B22="E'GRID T6"),AND(P$5&gt;=3,P$5&lt;=6),
OR($B22="GS-GRID B30/30XL",$B22="GS-GRID B40/40",$B22="GS-GRID B40/40L"),AND(P$5&gt;=4,P$5&lt;=6),
OR($B22="GS-GRID SX170",$B22="E'GRID T7"),AND(P$5&gt;=4,P$5&lt;=6),
$B22="E'GRID T9L",AND(P$5&gt;=4,P$5&lt;=6),
TRUE,FALSE
),"x","") )</f>
        <v>x</v>
      </c>
      <c r="Q22" s="12" t="str" cm="1">
        <f t="array" ref="Q22">IF(OR($B22="Anden armering",$B22=""),"",IF(_xlfn.IFS(
$B22="Tensar TriAx TX150",AND(Q$5&gt;=1,Q$5&lt;=4),
$B22="Tensar TriAx TX160",AND(Q$5&gt;=3,Q$5&lt;=6),
$B22="Tensar InterAx NX750",AND(Q$5&gt;=5,Q$5&lt;=6),
$B22="Tensar InterAx NX850",AND(Q$5&gt;=5,Q$5&lt;=6),
$B22="Tensar HX5.5",AND(Q$5&gt;=1,Q$5&lt;=5),
$B22="Tensar SS30",AND(Q$5&gt;=3,Q$5&lt;=5),
$B22="Tensar HX165",AND(Q$5&gt;=4,Q$5&lt;=6),
OR($B22="GS-GRID B20/20",$B22="GS-GRID B20/20L"),AND(Q$5&gt;=1,Q$5&lt;=3),
OR($B22="GS-GRID B30/30",$B22="GS-GRID B30/30L"),AND(Q$5&gt;=3,Q$5&lt;=5),
OR($B22="GS-GRID SX160",$B22="E'GRID T6"),AND(Q$5&gt;=3,Q$5&lt;=6),
OR($B22="GS-GRID B30/30XL",$B22="GS-GRID B40/40",$B22="GS-GRID B40/40L"),AND(Q$5&gt;=4,Q$5&lt;=6),
OR($B22="GS-GRID SX170",$B22="E'GRID T7"),AND(Q$5&gt;=4,Q$5&lt;=6),
$B22="E'GRID T9L",AND(Q$5&gt;=4,Q$5&lt;=6),
TRUE,FALSE
),"x","") )</f>
        <v>x</v>
      </c>
    </row>
    <row r="23" spans="2:17" ht="21.75" customHeight="1" x14ac:dyDescent="0.25">
      <c r="B23" s="92" t="s">
        <v>298</v>
      </c>
      <c r="C23" s="12" t="s">
        <v>354</v>
      </c>
      <c r="D23" s="12" t="s">
        <v>344</v>
      </c>
      <c r="E23" s="83">
        <v>-0.1</v>
      </c>
      <c r="F23" s="12" t="s">
        <v>353</v>
      </c>
      <c r="G23" s="12">
        <v>80</v>
      </c>
      <c r="H23" s="12">
        <v>20</v>
      </c>
      <c r="I23" s="12">
        <v>3.9</v>
      </c>
      <c r="J23" s="85" t="s">
        <v>299</v>
      </c>
      <c r="K23" s="12" t="s">
        <v>569</v>
      </c>
      <c r="L23" s="12" t="str" cm="1">
        <f t="array" ref="L23">IF(OR($B23="Anden armering",$B23=""),"",IF(_xlfn.IFS(
$B23="Tensar TriAx TX150",AND(L$5&gt;=1,L$5&lt;=4),
$B23="Tensar TriAx TX160",AND(L$5&gt;=3,L$5&lt;=6),
$B23="Tensar InterAx NX750",AND(L$5&gt;=5,L$5&lt;=6),
$B23="Tensar InterAx NX850",AND(L$5&gt;=5,L$5&lt;=6),
$B23="Tensar HX5.5",AND(L$5&gt;=1,L$5&lt;=5),
$B23="Tensar SS30",AND(L$5&gt;=3,L$5&lt;=5),
$B23="Tensar HX165",AND(L$5&gt;=4,L$5&lt;=6),
OR($B23="GS-GRID B20/20",$B23="GS-GRID B20/20L"),AND(L$5&gt;=1,L$5&lt;=3),
OR($B23="GS-GRID B30/30",$B23="GS-GRID B30/30L"),AND(L$5&gt;=3,L$5&lt;=5),
OR($B23="GS-GRID SX160",$B23="E'GRID T6"),AND(L$5&gt;=3,L$5&lt;=6),
OR($B23="GS-GRID B30/30XL",$B23="GS-GRID B40/40",$B23="GS-GRID B40/40L"),AND(L$5&gt;=4,L$5&lt;=6),
OR($B23="GS-GRID SX170",$B23="E'GRID T7"),AND(L$5&gt;=4,L$5&lt;=6),
$B23="E'GRID T9L",AND(L$5&gt;=4,L$5&lt;=6),
TRUE,FALSE
),"x","") )</f>
        <v/>
      </c>
      <c r="M23" s="12" t="str" cm="1">
        <f t="array" ref="M23">IF(OR($B23="Anden armering",$B23=""),"",IF(_xlfn.IFS(
$B23="Tensar TriAx TX150",AND(M$5&gt;=1,M$5&lt;=4),
$B23="Tensar TriAx TX160",AND(M$5&gt;=3,M$5&lt;=6),
$B23="Tensar InterAx NX750",AND(M$5&gt;=5,M$5&lt;=6),
$B23="Tensar InterAx NX850",AND(M$5&gt;=5,M$5&lt;=6),
$B23="Tensar HX5.5",AND(M$5&gt;=1,M$5&lt;=5),
$B23="Tensar SS30",AND(M$5&gt;=3,M$5&lt;=5),
$B23="Tensar HX165",AND(M$5&gt;=4,M$5&lt;=6),
OR($B23="GS-GRID B20/20",$B23="GS-GRID B20/20L"),AND(M$5&gt;=1,M$5&lt;=3),
OR($B23="GS-GRID B30/30",$B23="GS-GRID B30/30L"),AND(M$5&gt;=3,M$5&lt;=5),
OR($B23="GS-GRID SX160",$B23="E'GRID T6"),AND(M$5&gt;=3,M$5&lt;=6),
OR($B23="GS-GRID B30/30XL",$B23="GS-GRID B40/40",$B23="GS-GRID B40/40L"),AND(M$5&gt;=4,M$5&lt;=6),
OR($B23="GS-GRID SX170",$B23="E'GRID T7"),AND(M$5&gt;=4,M$5&lt;=6),
$B23="E'GRID T9L",AND(M$5&gt;=4,M$5&lt;=6),
TRUE,FALSE
),"x","") )</f>
        <v/>
      </c>
      <c r="N23" s="12" t="str" cm="1">
        <f t="array" ref="N23">IF(OR($B23="Anden armering",$B23=""),"",IF(_xlfn.IFS(
$B23="Tensar TriAx TX150",AND(N$5&gt;=1,N$5&lt;=4),
$B23="Tensar TriAx TX160",AND(N$5&gt;=3,N$5&lt;=6),
$B23="Tensar InterAx NX750",AND(N$5&gt;=5,N$5&lt;=6),
$B23="Tensar InterAx NX850",AND(N$5&gt;=5,N$5&lt;=6),
$B23="Tensar HX5.5",AND(N$5&gt;=1,N$5&lt;=5),
$B23="Tensar SS30",AND(N$5&gt;=3,N$5&lt;=5),
$B23="Tensar HX165",AND(N$5&gt;=4,N$5&lt;=6),
OR($B23="GS-GRID B20/20",$B23="GS-GRID B20/20L"),AND(N$5&gt;=1,N$5&lt;=3),
OR($B23="GS-GRID B30/30",$B23="GS-GRID B30/30L"),AND(N$5&gt;=3,N$5&lt;=5),
OR($B23="GS-GRID SX160",$B23="E'GRID T6"),AND(N$5&gt;=3,N$5&lt;=6),
OR($B23="GS-GRID B30/30XL",$B23="GS-GRID B40/40",$B23="GS-GRID B40/40L"),AND(N$5&gt;=4,N$5&lt;=6),
OR($B23="GS-GRID SX170",$B23="E'GRID T7"),AND(N$5&gt;=4,N$5&lt;=6),
$B23="E'GRID T9L",AND(N$5&gt;=4,N$5&lt;=6),
TRUE,FALSE
),"x","") )</f>
        <v/>
      </c>
      <c r="O23" s="12" t="str" cm="1">
        <f t="array" ref="O23">IF(OR($B23="Anden armering",$B23=""),"",IF(_xlfn.IFS(
$B23="Tensar TriAx TX150",AND(O$5&gt;=1,O$5&lt;=4),
$B23="Tensar TriAx TX160",AND(O$5&gt;=3,O$5&lt;=6),
$B23="Tensar InterAx NX750",AND(O$5&gt;=5,O$5&lt;=6),
$B23="Tensar InterAx NX850",AND(O$5&gt;=5,O$5&lt;=6),
$B23="Tensar HX5.5",AND(O$5&gt;=1,O$5&lt;=5),
$B23="Tensar SS30",AND(O$5&gt;=3,O$5&lt;=5),
$B23="Tensar HX165",AND(O$5&gt;=4,O$5&lt;=6),
OR($B23="GS-GRID B20/20",$B23="GS-GRID B20/20L"),AND(O$5&gt;=1,O$5&lt;=3),
OR($B23="GS-GRID B30/30",$B23="GS-GRID B30/30L"),AND(O$5&gt;=3,O$5&lt;=5),
OR($B23="GS-GRID SX160",$B23="E'GRID T6"),AND(O$5&gt;=3,O$5&lt;=6),
OR($B23="GS-GRID B30/30XL",$B23="GS-GRID B40/40",$B23="GS-GRID B40/40L"),AND(O$5&gt;=4,O$5&lt;=6),
OR($B23="GS-GRID SX170",$B23="E'GRID T7"),AND(O$5&gt;=4,O$5&lt;=6),
$B23="E'GRID T9L",AND(O$5&gt;=4,O$5&lt;=6),
TRUE,FALSE
),"x","") )</f>
        <v>x</v>
      </c>
      <c r="P23" s="12" t="str" cm="1">
        <f t="array" ref="P23">IF(OR($B23="Anden armering",$B23=""),"",IF(_xlfn.IFS(
$B23="Tensar TriAx TX150",AND(P$5&gt;=1,P$5&lt;=4),
$B23="Tensar TriAx TX160",AND(P$5&gt;=3,P$5&lt;=6),
$B23="Tensar InterAx NX750",AND(P$5&gt;=5,P$5&lt;=6),
$B23="Tensar InterAx NX850",AND(P$5&gt;=5,P$5&lt;=6),
$B23="Tensar HX5.5",AND(P$5&gt;=1,P$5&lt;=5),
$B23="Tensar SS30",AND(P$5&gt;=3,P$5&lt;=5),
$B23="Tensar HX165",AND(P$5&gt;=4,P$5&lt;=6),
OR($B23="GS-GRID B20/20",$B23="GS-GRID B20/20L"),AND(P$5&gt;=1,P$5&lt;=3),
OR($B23="GS-GRID B30/30",$B23="GS-GRID B30/30L"),AND(P$5&gt;=3,P$5&lt;=5),
OR($B23="GS-GRID SX160",$B23="E'GRID T6"),AND(P$5&gt;=3,P$5&lt;=6),
OR($B23="GS-GRID B30/30XL",$B23="GS-GRID B40/40",$B23="GS-GRID B40/40L"),AND(P$5&gt;=4,P$5&lt;=6),
OR($B23="GS-GRID SX170",$B23="E'GRID T7"),AND(P$5&gt;=4,P$5&lt;=6),
$B23="E'GRID T9L",AND(P$5&gt;=4,P$5&lt;=6),
TRUE,FALSE
),"x","") )</f>
        <v>x</v>
      </c>
      <c r="Q23" s="12" t="str" cm="1">
        <f t="array" ref="Q23">IF(OR($B23="Anden armering",$B23=""),"",IF(_xlfn.IFS(
$B23="Tensar TriAx TX150",AND(Q$5&gt;=1,Q$5&lt;=4),
$B23="Tensar TriAx TX160",AND(Q$5&gt;=3,Q$5&lt;=6),
$B23="Tensar InterAx NX750",AND(Q$5&gt;=5,Q$5&lt;=6),
$B23="Tensar InterAx NX850",AND(Q$5&gt;=5,Q$5&lt;=6),
$B23="Tensar HX5.5",AND(Q$5&gt;=1,Q$5&lt;=5),
$B23="Tensar SS30",AND(Q$5&gt;=3,Q$5&lt;=5),
$B23="Tensar HX165",AND(Q$5&gt;=4,Q$5&lt;=6),
OR($B23="GS-GRID B20/20",$B23="GS-GRID B20/20L"),AND(Q$5&gt;=1,Q$5&lt;=3),
OR($B23="GS-GRID B30/30",$B23="GS-GRID B30/30L"),AND(Q$5&gt;=3,Q$5&lt;=5),
OR($B23="GS-GRID SX160",$B23="E'GRID T6"),AND(Q$5&gt;=3,Q$5&lt;=6),
OR($B23="GS-GRID B30/30XL",$B23="GS-GRID B40/40",$B23="GS-GRID B40/40L"),AND(Q$5&gt;=4,Q$5&lt;=6),
OR($B23="GS-GRID SX170",$B23="E'GRID T7"),AND(Q$5&gt;=4,Q$5&lt;=6),
$B23="E'GRID T9L",AND(Q$5&gt;=4,Q$5&lt;=6),
TRUE,FALSE
),"x","") )</f>
        <v>x</v>
      </c>
    </row>
    <row r="24" spans="2:17" ht="21.75" customHeight="1" x14ac:dyDescent="0.25">
      <c r="B24" s="92" t="s">
        <v>300</v>
      </c>
      <c r="C24" s="12" t="s">
        <v>354</v>
      </c>
      <c r="D24" s="12" t="s">
        <v>344</v>
      </c>
      <c r="E24" s="83">
        <v>-0.1</v>
      </c>
      <c r="F24" s="12" t="s">
        <v>355</v>
      </c>
      <c r="G24" s="12">
        <v>150</v>
      </c>
      <c r="H24" s="12">
        <v>40</v>
      </c>
      <c r="I24" s="12">
        <v>3.9</v>
      </c>
      <c r="J24" s="85"/>
      <c r="K24" s="12">
        <v>150</v>
      </c>
      <c r="L24" s="12" t="str" cm="1">
        <f t="array" ref="L24">IF(OR($B24="Anden armering",$B24=""),"",IF(_xlfn.IFS(
$B24="Tensar TriAx TX150",AND(L$5&gt;=1,L$5&lt;=4),
$B24="Tensar TriAx TX160",AND(L$5&gt;=3,L$5&lt;=6),
$B24="Tensar InterAx NX750",AND(L$5&gt;=5,L$5&lt;=6),
$B24="Tensar InterAx NX850",AND(L$5&gt;=5,L$5&lt;=6),
$B24="Tensar HX5.5",AND(L$5&gt;=1,L$5&lt;=5),
$B24="Tensar SS30",AND(L$5&gt;=3,L$5&lt;=5),
$B24="Tensar HX165",AND(L$5&gt;=4,L$5&lt;=6),
OR($B24="GS-GRID B20/20",$B24="GS-GRID B20/20L"),AND(L$5&gt;=1,L$5&lt;=3),
OR($B24="GS-GRID B30/30",$B24="GS-GRID B30/30L"),AND(L$5&gt;=3,L$5&lt;=5),
OR($B24="GS-GRID SX160",$B24="E'GRID T6"),AND(L$5&gt;=3,L$5&lt;=6),
OR($B24="GS-GRID B30/30XL",$B24="GS-GRID B40/40",$B24="GS-GRID B40/40L"),AND(L$5&gt;=4,L$5&lt;=6),
OR($B24="GS-GRID SX170",$B24="E'GRID T7"),AND(L$5&gt;=4,L$5&lt;=6),
$B24="E'GRID T9L",AND(L$5&gt;=4,L$5&lt;=6),
TRUE,FALSE
),"x","") )</f>
        <v/>
      </c>
      <c r="M24" s="12" t="str" cm="1">
        <f t="array" ref="M24">IF(OR($B24="Anden armering",$B24=""),"",IF(_xlfn.IFS(
$B24="Tensar TriAx TX150",AND(M$5&gt;=1,M$5&lt;=4),
$B24="Tensar TriAx TX160",AND(M$5&gt;=3,M$5&lt;=6),
$B24="Tensar InterAx NX750",AND(M$5&gt;=5,M$5&lt;=6),
$B24="Tensar InterAx NX850",AND(M$5&gt;=5,M$5&lt;=6),
$B24="Tensar HX5.5",AND(M$5&gt;=1,M$5&lt;=5),
$B24="Tensar SS30",AND(M$5&gt;=3,M$5&lt;=5),
$B24="Tensar HX165",AND(M$5&gt;=4,M$5&lt;=6),
OR($B24="GS-GRID B20/20",$B24="GS-GRID B20/20L"),AND(M$5&gt;=1,M$5&lt;=3),
OR($B24="GS-GRID B30/30",$B24="GS-GRID B30/30L"),AND(M$5&gt;=3,M$5&lt;=5),
OR($B24="GS-GRID SX160",$B24="E'GRID T6"),AND(M$5&gt;=3,M$5&lt;=6),
OR($B24="GS-GRID B30/30XL",$B24="GS-GRID B40/40",$B24="GS-GRID B40/40L"),AND(M$5&gt;=4,M$5&lt;=6),
OR($B24="GS-GRID SX170",$B24="E'GRID T7"),AND(M$5&gt;=4,M$5&lt;=6),
$B24="E'GRID T9L",AND(M$5&gt;=4,M$5&lt;=6),
TRUE,FALSE
),"x","") )</f>
        <v/>
      </c>
      <c r="N24" s="12" t="str" cm="1">
        <f t="array" ref="N24">IF(OR($B24="Anden armering",$B24=""),"",IF(_xlfn.IFS(
$B24="Tensar TriAx TX150",AND(N$5&gt;=1,N$5&lt;=4),
$B24="Tensar TriAx TX160",AND(N$5&gt;=3,N$5&lt;=6),
$B24="Tensar InterAx NX750",AND(N$5&gt;=5,N$5&lt;=6),
$B24="Tensar InterAx NX850",AND(N$5&gt;=5,N$5&lt;=6),
$B24="Tensar HX5.5",AND(N$5&gt;=1,N$5&lt;=5),
$B24="Tensar SS30",AND(N$5&gt;=3,N$5&lt;=5),
$B24="Tensar HX165",AND(N$5&gt;=4,N$5&lt;=6),
OR($B24="GS-GRID B20/20",$B24="GS-GRID B20/20L"),AND(N$5&gt;=1,N$5&lt;=3),
OR($B24="GS-GRID B30/30",$B24="GS-GRID B30/30L"),AND(N$5&gt;=3,N$5&lt;=5),
OR($B24="GS-GRID SX160",$B24="E'GRID T6"),AND(N$5&gt;=3,N$5&lt;=6),
OR($B24="GS-GRID B30/30XL",$B24="GS-GRID B40/40",$B24="GS-GRID B40/40L"),AND(N$5&gt;=4,N$5&lt;=6),
OR($B24="GS-GRID SX170",$B24="E'GRID T7"),AND(N$5&gt;=4,N$5&lt;=6),
$B24="E'GRID T9L",AND(N$5&gt;=4,N$5&lt;=6),
TRUE,FALSE
),"x","") )</f>
        <v/>
      </c>
      <c r="O24" s="12" t="str" cm="1">
        <f t="array" ref="O24">IF(OR($B24="Anden armering",$B24=""),"",IF(_xlfn.IFS(
$B24="Tensar TriAx TX150",AND(O$5&gt;=1,O$5&lt;=4),
$B24="Tensar TriAx TX160",AND(O$5&gt;=3,O$5&lt;=6),
$B24="Tensar InterAx NX750",AND(O$5&gt;=5,O$5&lt;=6),
$B24="Tensar InterAx NX850",AND(O$5&gt;=5,O$5&lt;=6),
$B24="Tensar HX5.5",AND(O$5&gt;=1,O$5&lt;=5),
$B24="Tensar SS30",AND(O$5&gt;=3,O$5&lt;=5),
$B24="Tensar HX165",AND(O$5&gt;=4,O$5&lt;=6),
OR($B24="GS-GRID B20/20",$B24="GS-GRID B20/20L"),AND(O$5&gt;=1,O$5&lt;=3),
OR($B24="GS-GRID B30/30",$B24="GS-GRID B30/30L"),AND(O$5&gt;=3,O$5&lt;=5),
OR($B24="GS-GRID SX160",$B24="E'GRID T6"),AND(O$5&gt;=3,O$5&lt;=6),
OR($B24="GS-GRID B30/30XL",$B24="GS-GRID B40/40",$B24="GS-GRID B40/40L"),AND(O$5&gt;=4,O$5&lt;=6),
OR($B24="GS-GRID SX170",$B24="E'GRID T7"),AND(O$5&gt;=4,O$5&lt;=6),
$B24="E'GRID T9L",AND(O$5&gt;=4,O$5&lt;=6),
TRUE,FALSE
),"x","") )</f>
        <v>x</v>
      </c>
      <c r="P24" s="12" t="str" cm="1">
        <f t="array" ref="P24">IF(OR($B24="Anden armering",$B24=""),"",IF(_xlfn.IFS(
$B24="Tensar TriAx TX150",AND(P$5&gt;=1,P$5&lt;=4),
$B24="Tensar TriAx TX160",AND(P$5&gt;=3,P$5&lt;=6),
$B24="Tensar InterAx NX750",AND(P$5&gt;=5,P$5&lt;=6),
$B24="Tensar InterAx NX850",AND(P$5&gt;=5,P$5&lt;=6),
$B24="Tensar HX5.5",AND(P$5&gt;=1,P$5&lt;=5),
$B24="Tensar SS30",AND(P$5&gt;=3,P$5&lt;=5),
$B24="Tensar HX165",AND(P$5&gt;=4,P$5&lt;=6),
OR($B24="GS-GRID B20/20",$B24="GS-GRID B20/20L"),AND(P$5&gt;=1,P$5&lt;=3),
OR($B24="GS-GRID B30/30",$B24="GS-GRID B30/30L"),AND(P$5&gt;=3,P$5&lt;=5),
OR($B24="GS-GRID SX160",$B24="E'GRID T6"),AND(P$5&gt;=3,P$5&lt;=6),
OR($B24="GS-GRID B30/30XL",$B24="GS-GRID B40/40",$B24="GS-GRID B40/40L"),AND(P$5&gt;=4,P$5&lt;=6),
OR($B24="GS-GRID SX170",$B24="E'GRID T7"),AND(P$5&gt;=4,P$5&lt;=6),
$B24="E'GRID T9L",AND(P$5&gt;=4,P$5&lt;=6),
TRUE,FALSE
),"x","") )</f>
        <v>x</v>
      </c>
      <c r="Q24" s="12" t="str" cm="1">
        <f t="array" ref="Q24">IF(OR($B24="Anden armering",$B24=""),"",IF(_xlfn.IFS(
$B24="Tensar TriAx TX150",AND(Q$5&gt;=1,Q$5&lt;=4),
$B24="Tensar TriAx TX160",AND(Q$5&gt;=3,Q$5&lt;=6),
$B24="Tensar InterAx NX750",AND(Q$5&gt;=5,Q$5&lt;=6),
$B24="Tensar InterAx NX850",AND(Q$5&gt;=5,Q$5&lt;=6),
$B24="Tensar HX5.5",AND(Q$5&gt;=1,Q$5&lt;=5),
$B24="Tensar SS30",AND(Q$5&gt;=3,Q$5&lt;=5),
$B24="Tensar HX165",AND(Q$5&gt;=4,Q$5&lt;=6),
OR($B24="GS-GRID B20/20",$B24="GS-GRID B20/20L"),AND(Q$5&gt;=1,Q$5&lt;=3),
OR($B24="GS-GRID B30/30",$B24="GS-GRID B30/30L"),AND(Q$5&gt;=3,Q$5&lt;=5),
OR($B24="GS-GRID SX160",$B24="E'GRID T6"),AND(Q$5&gt;=3,Q$5&lt;=6),
OR($B24="GS-GRID B30/30XL",$B24="GS-GRID B40/40",$B24="GS-GRID B40/40L"),AND(Q$5&gt;=4,Q$5&lt;=6),
OR($B24="GS-GRID SX170",$B24="E'GRID T7"),AND(Q$5&gt;=4,Q$5&lt;=6),
$B24="E'GRID T9L",AND(Q$5&gt;=4,Q$5&lt;=6),
TRUE,FALSE
),"x","") )</f>
        <v>x</v>
      </c>
    </row>
    <row r="25" spans="2:17" ht="21.75" customHeight="1" x14ac:dyDescent="0.25">
      <c r="B25" s="92" t="s">
        <v>356</v>
      </c>
      <c r="C25" s="12" t="s">
        <v>357</v>
      </c>
      <c r="D25" s="12"/>
      <c r="E25" s="83">
        <v>0</v>
      </c>
      <c r="F25" s="12"/>
      <c r="G25" s="12"/>
      <c r="H25" s="12"/>
      <c r="I25" s="12"/>
      <c r="J25" s="85" t="s">
        <v>358</v>
      </c>
      <c r="K25" s="12"/>
      <c r="L25" s="128" t="str" cm="1">
        <f t="array" ref="L25">IF(OR($B25="Anden armering",$B25=""),"",IF(_xlfn.IFS(
$B25="Tensar TriAx TX150",AND(L$5&gt;=1,L$5&lt;=4),
$B25="Tensar TriAx TX160",AND(L$5&gt;=3,L$5&lt;=6),
$B25="Tensar InterAx NX750",AND(L$5&gt;=5,L$5&lt;=6),
$B25="Tensar InterAx NX850",AND(L$5&gt;=5,L$5&lt;=6),
$B25="Tensar HX5.5",AND(L$5&gt;=1,L$5&lt;=5),
$B25="Tensar SS30",AND(L$5&gt;=3,L$5&lt;=5),
$B25="Tensar HX165",AND(L$5&gt;=4,L$5&lt;=6),
OR($B25="GS-GRID B20/20",$B25="GS-GRID B20/20L"),AND(L$5&gt;=1,L$5&lt;=3),
OR($B25="GS-GRID B30/30",$B25="GS-GRID B30/30L"),AND(L$5&gt;=3,L$5&lt;=5),
OR($B25="GS-GRID SX160",$B25="E'GRID T6"),AND(L$5&gt;=3,L$5&lt;=6),
OR($B25="GS-GRID B30/30XL",$B25="GS-GRID B40/40",$B25="GS-GRID B40/40L"),AND(L$5&gt;=4,L$5&lt;=6),
OR($B25="GS-GRID SX170",$B25="E'GRID T7"),AND(L$5&gt;=4,L$5&lt;=6),
$B25="E'GRID T9L",AND(L$5&gt;=4,L$5&lt;=6),
TRUE,FALSE
),"x","") )</f>
        <v/>
      </c>
      <c r="M25" s="128" t="str" cm="1">
        <f t="array" ref="M25">IF(OR($B25="Anden armering",$B25=""),"",IF(_xlfn.IFS(
$B25="Tensar TriAx TX150",AND(M$5&gt;=1,M$5&lt;=4),
$B25="Tensar TriAx TX160",AND(M$5&gt;=3,M$5&lt;=6),
$B25="Tensar InterAx NX750",AND(M$5&gt;=5,M$5&lt;=6),
$B25="Tensar InterAx NX850",AND(M$5&gt;=5,M$5&lt;=6),
$B25="Tensar HX5.5",AND(M$5&gt;=1,M$5&lt;=5),
$B25="Tensar SS30",AND(M$5&gt;=3,M$5&lt;=5),
$B25="Tensar HX165",AND(M$5&gt;=4,M$5&lt;=6),
OR($B25="GS-GRID B20/20",$B25="GS-GRID B20/20L"),AND(M$5&gt;=1,M$5&lt;=3),
OR($B25="GS-GRID B30/30",$B25="GS-GRID B30/30L"),AND(M$5&gt;=3,M$5&lt;=5),
OR($B25="GS-GRID SX160",$B25="E'GRID T6"),AND(M$5&gt;=3,M$5&lt;=6),
OR($B25="GS-GRID B30/30XL",$B25="GS-GRID B40/40",$B25="GS-GRID B40/40L"),AND(M$5&gt;=4,M$5&lt;=6),
OR($B25="GS-GRID SX170",$B25="E'GRID T7"),AND(M$5&gt;=4,M$5&lt;=6),
$B25="E'GRID T9L",AND(M$5&gt;=4,M$5&lt;=6),
TRUE,FALSE
),"x","") )</f>
        <v/>
      </c>
      <c r="N25" s="128" t="str" cm="1">
        <f t="array" ref="N25">IF(OR($B25="Anden armering",$B25=""),"",IF(_xlfn.IFS(
$B25="Tensar TriAx TX150",AND(N$5&gt;=1,N$5&lt;=4),
$B25="Tensar TriAx TX160",AND(N$5&gt;=3,N$5&lt;=6),
$B25="Tensar InterAx NX750",AND(N$5&gt;=5,N$5&lt;=6),
$B25="Tensar InterAx NX850",AND(N$5&gt;=5,N$5&lt;=6),
$B25="Tensar HX5.5",AND(N$5&gt;=1,N$5&lt;=5),
$B25="Tensar SS30",AND(N$5&gt;=3,N$5&lt;=5),
$B25="Tensar HX165",AND(N$5&gt;=4,N$5&lt;=6),
OR($B25="GS-GRID B20/20",$B25="GS-GRID B20/20L"),AND(N$5&gt;=1,N$5&lt;=3),
OR($B25="GS-GRID B30/30",$B25="GS-GRID B30/30L"),AND(N$5&gt;=3,N$5&lt;=5),
OR($B25="GS-GRID SX160",$B25="E'GRID T6"),AND(N$5&gt;=3,N$5&lt;=6),
OR($B25="GS-GRID B30/30XL",$B25="GS-GRID B40/40",$B25="GS-GRID B40/40L"),AND(N$5&gt;=4,N$5&lt;=6),
OR($B25="GS-GRID SX170",$B25="E'GRID T7"),AND(N$5&gt;=4,N$5&lt;=6),
$B25="E'GRID T9L",AND(N$5&gt;=4,N$5&lt;=6),
TRUE,FALSE
),"x","") )</f>
        <v/>
      </c>
      <c r="O25" s="128" t="str" cm="1">
        <f t="array" ref="O25">IF(OR($B25="Anden armering",$B25=""),"",IF(_xlfn.IFS(
$B25="Tensar TriAx TX150",AND(O$5&gt;=1,O$5&lt;=4),
$B25="Tensar TriAx TX160",AND(O$5&gt;=3,O$5&lt;=6),
$B25="Tensar InterAx NX750",AND(O$5&gt;=5,O$5&lt;=6),
$B25="Tensar InterAx NX850",AND(O$5&gt;=5,O$5&lt;=6),
$B25="Tensar HX5.5",AND(O$5&gt;=1,O$5&lt;=5),
$B25="Tensar SS30",AND(O$5&gt;=3,O$5&lt;=5),
$B25="Tensar HX165",AND(O$5&gt;=4,O$5&lt;=6),
OR($B25="GS-GRID B20/20",$B25="GS-GRID B20/20L"),AND(O$5&gt;=1,O$5&lt;=3),
OR($B25="GS-GRID B30/30",$B25="GS-GRID B30/30L"),AND(O$5&gt;=3,O$5&lt;=5),
OR($B25="GS-GRID SX160",$B25="E'GRID T6"),AND(O$5&gt;=3,O$5&lt;=6),
OR($B25="GS-GRID B30/30XL",$B25="GS-GRID B40/40",$B25="GS-GRID B40/40L"),AND(O$5&gt;=4,O$5&lt;=6),
OR($B25="GS-GRID SX170",$B25="E'GRID T7"),AND(O$5&gt;=4,O$5&lt;=6),
$B25="E'GRID T9L",AND(O$5&gt;=4,O$5&lt;=6),
TRUE,FALSE
),"x","") )</f>
        <v/>
      </c>
      <c r="P25" s="128" t="str" cm="1">
        <f t="array" ref="P25">IF(OR($B25="Anden armering",$B25=""),"",IF(_xlfn.IFS(
$B25="Tensar TriAx TX150",AND(P$5&gt;=1,P$5&lt;=4),
$B25="Tensar TriAx TX160",AND(P$5&gt;=3,P$5&lt;=6),
$B25="Tensar InterAx NX750",AND(P$5&gt;=5,P$5&lt;=6),
$B25="Tensar InterAx NX850",AND(P$5&gt;=5,P$5&lt;=6),
$B25="Tensar HX5.5",AND(P$5&gt;=1,P$5&lt;=5),
$B25="Tensar SS30",AND(P$5&gt;=3,P$5&lt;=5),
$B25="Tensar HX165",AND(P$5&gt;=4,P$5&lt;=6),
OR($B25="GS-GRID B20/20",$B25="GS-GRID B20/20L"),AND(P$5&gt;=1,P$5&lt;=3),
OR($B25="GS-GRID B30/30",$B25="GS-GRID B30/30L"),AND(P$5&gt;=3,P$5&lt;=5),
OR($B25="GS-GRID SX160",$B25="E'GRID T6"),AND(P$5&gt;=3,P$5&lt;=6),
OR($B25="GS-GRID B30/30XL",$B25="GS-GRID B40/40",$B25="GS-GRID B40/40L"),AND(P$5&gt;=4,P$5&lt;=6),
OR($B25="GS-GRID SX170",$B25="E'GRID T7"),AND(P$5&gt;=4,P$5&lt;=6),
$B25="E'GRID T9L",AND(P$5&gt;=4,P$5&lt;=6),
TRUE,FALSE
),"x","") )</f>
        <v/>
      </c>
      <c r="Q25" s="128" t="str" cm="1">
        <f t="array" ref="Q25">IF(OR($B25="Anden armering",$B25=""),"",IF(_xlfn.IFS(
$B25="Tensar TriAx TX150",AND(Q$5&gt;=1,Q$5&lt;=4),
$B25="Tensar TriAx TX160",AND(Q$5&gt;=3,Q$5&lt;=6),
$B25="Tensar InterAx NX750",AND(Q$5&gt;=5,Q$5&lt;=6),
$B25="Tensar InterAx NX850",AND(Q$5&gt;=5,Q$5&lt;=6),
$B25="Tensar HX5.5",AND(Q$5&gt;=1,Q$5&lt;=5),
$B25="Tensar SS30",AND(Q$5&gt;=3,Q$5&lt;=5),
$B25="Tensar HX165",AND(Q$5&gt;=4,Q$5&lt;=6),
OR($B25="GS-GRID B20/20",$B25="GS-GRID B20/20L"),AND(Q$5&gt;=1,Q$5&lt;=3),
OR($B25="GS-GRID B30/30",$B25="GS-GRID B30/30L"),AND(Q$5&gt;=3,Q$5&lt;=5),
OR($B25="GS-GRID SX160",$B25="E'GRID T6"),AND(Q$5&gt;=3,Q$5&lt;=6),
OR($B25="GS-GRID B30/30XL",$B25="GS-GRID B40/40",$B25="GS-GRID B40/40L"),AND(Q$5&gt;=4,Q$5&lt;=6),
OR($B25="GS-GRID SX170",$B25="E'GRID T7"),AND(Q$5&gt;=4,Q$5&lt;=6),
$B25="E'GRID T9L",AND(Q$5&gt;=4,Q$5&lt;=6),
TRUE,FALSE
),"x","") )</f>
        <v/>
      </c>
    </row>
    <row r="27" spans="2:17" ht="15" customHeight="1" x14ac:dyDescent="0.25">
      <c r="B27" s="130" t="s">
        <v>359</v>
      </c>
      <c r="C27" s="130"/>
      <c r="D27" s="130"/>
      <c r="E27" s="130"/>
      <c r="F27" s="130"/>
      <c r="G27" s="130"/>
      <c r="H27" s="130"/>
      <c r="I27" s="130"/>
      <c r="J27" s="130"/>
    </row>
  </sheetData>
  <mergeCells count="4">
    <mergeCell ref="B1:J1"/>
    <mergeCell ref="B3:J3"/>
    <mergeCell ref="B27:J27"/>
    <mergeCell ref="L4:Q4"/>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S123"/>
  <sheetViews>
    <sheetView tabSelected="1" topLeftCell="B5" zoomScale="70" zoomScaleNormal="70" workbookViewId="0">
      <selection activeCell="Q42" sqref="Q42"/>
    </sheetView>
  </sheetViews>
  <sheetFormatPr defaultColWidth="8.7109375" defaultRowHeight="15" x14ac:dyDescent="0.25"/>
  <cols>
    <col min="1" max="1" width="2" style="7" customWidth="1"/>
    <col min="2" max="5" width="17.28515625" style="7" customWidth="1"/>
    <col min="6" max="8" width="11" style="7" customWidth="1"/>
    <col min="9" max="12" width="17.28515625" style="7" customWidth="1"/>
    <col min="13" max="21" width="11" style="7" customWidth="1"/>
    <col min="22" max="22" width="18.28515625" style="7" customWidth="1"/>
    <col min="23" max="26" width="11" style="7" customWidth="1"/>
    <col min="27" max="27" width="14.28515625" style="7" customWidth="1"/>
    <col min="28" max="28" width="9" style="7" customWidth="1"/>
    <col min="29" max="29" width="10.140625" style="7" customWidth="1"/>
    <col min="30" max="30" width="14.5703125" style="7" customWidth="1"/>
    <col min="31" max="31" width="12.140625" style="7" customWidth="1"/>
    <col min="32" max="32" width="9.7109375" style="7" customWidth="1"/>
    <col min="33" max="34" width="8.7109375" style="7"/>
    <col min="35" max="35" width="9" style="7" customWidth="1"/>
    <col min="36" max="36" width="12.5703125" style="7" customWidth="1"/>
    <col min="37" max="37" width="8" style="7" customWidth="1"/>
    <col min="38" max="38" width="13.28515625" style="7" customWidth="1"/>
    <col min="39" max="39" width="12.5703125" style="7" customWidth="1"/>
    <col min="40" max="40" width="8" style="7" customWidth="1"/>
    <col min="41" max="41" width="13.28515625" style="7" customWidth="1"/>
    <col min="42" max="42" width="12.5703125" style="7" customWidth="1"/>
    <col min="43" max="43" width="8" style="7" customWidth="1"/>
    <col min="44" max="44" width="13.28515625" style="7" customWidth="1"/>
    <col min="45" max="45" width="12.5703125" style="7" customWidth="1"/>
    <col min="46" max="46" width="8" style="7" customWidth="1"/>
    <col min="47" max="47" width="13.28515625" style="7" customWidth="1"/>
    <col min="48" max="48" width="13.7109375" style="7" customWidth="1"/>
    <col min="49" max="49" width="9" style="7" customWidth="1"/>
    <col min="50" max="50" width="14.28515625" style="7" customWidth="1"/>
    <col min="51" max="51" width="13.7109375" style="7" customWidth="1"/>
    <col min="52" max="52" width="9" style="7" customWidth="1"/>
    <col min="53" max="53" width="14.28515625" style="7" customWidth="1"/>
    <col min="54" max="71" width="0" style="7" hidden="1" customWidth="1"/>
    <col min="72" max="16384" width="8.7109375" style="7"/>
  </cols>
  <sheetData>
    <row r="1" spans="2:71" ht="24" customHeight="1" x14ac:dyDescent="0.25">
      <c r="B1" s="129" t="s">
        <v>360</v>
      </c>
      <c r="C1" s="129"/>
      <c r="D1" s="129"/>
      <c r="E1" s="129"/>
      <c r="F1" s="129"/>
      <c r="G1" s="129"/>
      <c r="H1" s="129"/>
      <c r="I1" s="129"/>
      <c r="J1" s="129"/>
      <c r="K1" s="129"/>
      <c r="L1" s="129"/>
      <c r="M1" s="129"/>
      <c r="N1" s="129"/>
      <c r="O1" s="129"/>
      <c r="P1" s="129"/>
      <c r="Q1" s="129"/>
      <c r="R1" s="129"/>
      <c r="S1" s="129"/>
      <c r="T1" s="129"/>
      <c r="AA1" s="166" t="s">
        <v>361</v>
      </c>
      <c r="AB1" s="166"/>
      <c r="AC1" s="166"/>
      <c r="AD1" s="166"/>
      <c r="AE1" s="166"/>
      <c r="AF1" s="166"/>
      <c r="AG1" s="166"/>
      <c r="AH1" s="166"/>
      <c r="AI1" s="166"/>
      <c r="AJ1" s="166"/>
      <c r="AK1" s="166"/>
      <c r="AL1" s="166"/>
      <c r="AM1" s="166"/>
      <c r="AN1" s="166"/>
      <c r="AO1" s="166"/>
      <c r="AP1" s="166"/>
      <c r="AQ1" s="166"/>
      <c r="AR1" s="166"/>
      <c r="AS1" s="166"/>
      <c r="AT1" s="166"/>
      <c r="AU1" s="166"/>
      <c r="AV1" s="166"/>
      <c r="AW1" s="166"/>
      <c r="AX1" s="166"/>
      <c r="AY1" s="166"/>
      <c r="AZ1" s="166"/>
      <c r="BA1" s="166"/>
    </row>
    <row r="2" spans="2:71" ht="15" customHeight="1" x14ac:dyDescent="0.25">
      <c r="B2" s="130" t="s">
        <v>362</v>
      </c>
      <c r="C2" s="130"/>
      <c r="D2" s="130"/>
      <c r="E2" s="130"/>
      <c r="F2" s="130"/>
      <c r="G2" s="130"/>
      <c r="H2" s="130"/>
      <c r="I2" s="130"/>
      <c r="J2" s="130"/>
      <c r="K2" s="130"/>
      <c r="L2" s="130"/>
      <c r="M2" s="130"/>
      <c r="N2" s="130"/>
      <c r="O2" s="130"/>
      <c r="P2" s="130"/>
      <c r="Q2" s="130"/>
      <c r="R2" s="130"/>
      <c r="S2" s="130"/>
      <c r="T2" s="130"/>
      <c r="U2" s="104"/>
      <c r="V2" s="104"/>
      <c r="W2" s="104"/>
      <c r="X2" s="104"/>
      <c r="Y2" s="104"/>
      <c r="AA2" s="167" t="s">
        <v>363</v>
      </c>
      <c r="AB2" s="167"/>
      <c r="AC2" s="167"/>
      <c r="AD2" s="167"/>
      <c r="AE2" s="167"/>
      <c r="AF2" s="167"/>
      <c r="AG2" s="167"/>
      <c r="AH2" s="167"/>
      <c r="AI2" s="167"/>
      <c r="AJ2" s="167"/>
      <c r="AK2" s="167"/>
      <c r="AL2" s="167"/>
      <c r="AM2" s="167"/>
      <c r="AN2" s="167"/>
      <c r="AO2" s="167"/>
      <c r="AP2" s="167"/>
      <c r="AQ2" s="167"/>
      <c r="AR2" s="167"/>
      <c r="AS2" s="167"/>
      <c r="AT2" s="167"/>
      <c r="AU2" s="167"/>
      <c r="AV2" s="167"/>
      <c r="AW2" s="167"/>
      <c r="AX2" s="167"/>
      <c r="AY2" s="167"/>
      <c r="AZ2" s="167"/>
      <c r="BA2" s="167"/>
    </row>
    <row r="3" spans="2:71" ht="15" customHeight="1" x14ac:dyDescent="0.25">
      <c r="B3" s="130"/>
      <c r="C3" s="130"/>
      <c r="D3" s="130"/>
      <c r="E3" s="130"/>
      <c r="F3" s="130"/>
      <c r="G3" s="130"/>
      <c r="H3" s="130"/>
      <c r="I3" s="130"/>
      <c r="J3" s="130"/>
      <c r="K3" s="130"/>
      <c r="L3" s="130"/>
      <c r="M3" s="130"/>
      <c r="N3" s="130"/>
      <c r="O3" s="130"/>
      <c r="P3" s="130"/>
      <c r="Q3" s="130"/>
      <c r="R3" s="130"/>
      <c r="S3" s="130"/>
      <c r="T3" s="130"/>
      <c r="U3" s="104"/>
      <c r="V3" s="104"/>
      <c r="W3" s="104"/>
      <c r="X3" s="104"/>
      <c r="Y3" s="104"/>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row>
    <row r="4" spans="2:71" ht="27.75" customHeight="1" x14ac:dyDescent="0.25">
      <c r="B4" s="130"/>
      <c r="C4" s="130"/>
      <c r="D4" s="130"/>
      <c r="E4" s="130"/>
      <c r="F4" s="130"/>
      <c r="G4" s="130"/>
      <c r="H4" s="130"/>
      <c r="I4" s="130"/>
      <c r="J4" s="130"/>
      <c r="K4" s="130"/>
      <c r="L4" s="130"/>
      <c r="M4" s="130"/>
      <c r="N4" s="130"/>
      <c r="O4" s="130"/>
      <c r="P4" s="130"/>
      <c r="Q4" s="130"/>
      <c r="R4" s="130"/>
      <c r="S4" s="130"/>
      <c r="T4" s="130"/>
      <c r="AA4" s="4"/>
      <c r="AB4" s="4"/>
      <c r="AC4" s="4"/>
      <c r="AD4" s="4"/>
      <c r="AE4" s="4"/>
      <c r="AF4" s="4"/>
      <c r="AG4" s="4"/>
      <c r="AH4" s="4"/>
      <c r="AI4" s="103" t="s">
        <v>364</v>
      </c>
      <c r="AJ4" s="103"/>
      <c r="AK4" s="103"/>
      <c r="AL4" s="103"/>
      <c r="AM4" s="103"/>
      <c r="AN4" s="103"/>
      <c r="AO4" s="103"/>
      <c r="AP4" s="103"/>
      <c r="AQ4" s="103"/>
      <c r="AR4" s="103"/>
      <c r="AS4" s="103"/>
      <c r="AT4" s="103"/>
      <c r="AU4" s="103"/>
      <c r="AV4" s="103"/>
      <c r="AW4" s="103"/>
      <c r="AX4" s="103"/>
      <c r="AY4" s="103"/>
      <c r="AZ4" s="103"/>
      <c r="BA4" s="103"/>
    </row>
    <row r="5" spans="2:71" ht="18.75" customHeight="1" x14ac:dyDescent="0.25">
      <c r="B5" s="161" t="s">
        <v>365</v>
      </c>
      <c r="C5" s="161"/>
      <c r="D5" s="161"/>
      <c r="E5" s="161"/>
      <c r="F5" s="161"/>
      <c r="G5" s="161"/>
      <c r="H5" s="161"/>
      <c r="I5" s="161"/>
      <c r="J5" s="161"/>
      <c r="K5" s="161"/>
      <c r="L5" s="161"/>
      <c r="M5" s="161"/>
      <c r="N5" s="161"/>
      <c r="O5" s="161"/>
      <c r="P5" s="161"/>
      <c r="Q5" s="161"/>
      <c r="R5" s="161"/>
      <c r="S5" s="161"/>
      <c r="T5" s="161"/>
      <c r="V5" s="177"/>
      <c r="W5" s="177"/>
      <c r="X5" s="177"/>
      <c r="Y5" s="177"/>
      <c r="AA5" s="105" t="s">
        <v>366</v>
      </c>
      <c r="AB5" s="105" t="s">
        <v>367</v>
      </c>
      <c r="AC5" s="105" t="s">
        <v>120</v>
      </c>
      <c r="AD5" s="105" t="s">
        <v>368</v>
      </c>
      <c r="AE5" s="105" t="s">
        <v>369</v>
      </c>
      <c r="AF5" s="105" t="s">
        <v>370</v>
      </c>
      <c r="AG5" s="4"/>
      <c r="AH5" s="4"/>
      <c r="AI5" s="105" t="s">
        <v>371</v>
      </c>
      <c r="AJ5" s="105" t="s">
        <v>372</v>
      </c>
      <c r="AK5" s="105" t="s">
        <v>373</v>
      </c>
      <c r="AL5" s="105" t="s">
        <v>374</v>
      </c>
      <c r="AM5" s="105" t="s">
        <v>375</v>
      </c>
      <c r="AN5" s="105" t="s">
        <v>376</v>
      </c>
      <c r="AO5" s="105" t="s">
        <v>377</v>
      </c>
      <c r="AP5" s="105" t="s">
        <v>378</v>
      </c>
      <c r="AQ5" s="105" t="s">
        <v>379</v>
      </c>
      <c r="AR5" s="105" t="s">
        <v>380</v>
      </c>
      <c r="AS5" s="105" t="s">
        <v>381</v>
      </c>
      <c r="AT5" s="105" t="s">
        <v>382</v>
      </c>
      <c r="AU5" s="105" t="s">
        <v>383</v>
      </c>
      <c r="AV5" s="105" t="s">
        <v>384</v>
      </c>
      <c r="AW5" s="105" t="s">
        <v>385</v>
      </c>
      <c r="AX5" s="105" t="s">
        <v>386</v>
      </c>
      <c r="AY5" s="105" t="s">
        <v>387</v>
      </c>
      <c r="AZ5" s="105" t="s">
        <v>388</v>
      </c>
      <c r="BA5" s="105" t="s">
        <v>389</v>
      </c>
      <c r="BB5" s="176" t="s">
        <v>570</v>
      </c>
      <c r="BC5"/>
      <c r="BD5"/>
      <c r="BE5"/>
      <c r="BF5"/>
      <c r="BG5"/>
      <c r="BH5"/>
      <c r="BI5"/>
      <c r="BJ5"/>
      <c r="BK5"/>
      <c r="BL5"/>
      <c r="BM5"/>
      <c r="BN5"/>
      <c r="BO5"/>
      <c r="BP5"/>
      <c r="BQ5"/>
      <c r="BR5"/>
      <c r="BS5"/>
    </row>
    <row r="6" spans="2:71" ht="15" customHeight="1" x14ac:dyDescent="0.25">
      <c r="B6" s="165" t="s">
        <v>390</v>
      </c>
      <c r="C6" s="165"/>
      <c r="D6" s="165"/>
      <c r="E6" s="165"/>
      <c r="F6" s="165"/>
      <c r="G6" s="165"/>
      <c r="H6" s="165"/>
      <c r="I6" s="165"/>
      <c r="J6" s="165"/>
      <c r="K6" s="165"/>
      <c r="L6" s="165"/>
      <c r="M6" s="165"/>
      <c r="N6" s="165"/>
      <c r="O6" s="165"/>
      <c r="P6" s="165"/>
      <c r="Q6" s="165"/>
      <c r="R6" s="165"/>
      <c r="S6" s="165"/>
      <c r="T6" s="165"/>
      <c r="U6" s="104"/>
      <c r="V6"/>
      <c r="W6"/>
      <c r="X6"/>
      <c r="Y6"/>
      <c r="AA6" s="106" t="s">
        <v>372</v>
      </c>
      <c r="AB6" s="106">
        <v>30</v>
      </c>
      <c r="AC6" s="106" t="s">
        <v>391</v>
      </c>
      <c r="AD6" s="106" t="s">
        <v>392</v>
      </c>
      <c r="AE6" s="106" t="s">
        <v>393</v>
      </c>
      <c r="AF6" s="106" t="s">
        <v>394</v>
      </c>
      <c r="AG6" s="4"/>
      <c r="AH6" s="4"/>
      <c r="AI6" s="107">
        <f t="shared" ref="AI6:AI23" si="0">B10</f>
        <v>2</v>
      </c>
      <c r="AJ6" s="107" t="str">
        <f t="array" aca="1" ref="AJ6" ca="1">_xlfn.LET(_xlpm.targeteu,$AI6,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6" s="107">
        <f t="array" aca="1" ref="AK6" ca="1">_xlfn.LET(_xlpm.targeteu,$AI6,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L6" s="107" t="str">
        <f t="array" aca="1" ref="AL6" ca="1">_xlfn.LET(_xlpm.targeteu,$AI6,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6" s="107" t="str">
        <f t="array" aca="1" ref="AM6" ca="1">_xlfn.LET(_xlpm.targeteu,$AI6,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N6" s="107">
        <f t="array" aca="1" ref="AN6" ca="1">_xlfn.LET(_xlpm.targeteu,$AI6,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O6" s="107">
        <f t="array" aca="1" ref="AO6" ca="1">_xlfn.LET(_xlpm.targeteu,$AI6,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P6" s="107" t="str">
        <f t="array" aca="1" ref="AP6" ca="1">_xlfn.LET(_xlpm.targeteu,$AI6,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Q6" s="107">
        <f t="array" aca="1" ref="AQ6" ca="1">_xlfn.LET(_xlpm.targeteu,$AI6,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96.7</v>
      </c>
      <c r="AR6" s="107">
        <f t="array" aca="1" ref="AR6" ca="1">_xlfn.LET(_xlpm.targeteu,$AI6,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86.7</v>
      </c>
      <c r="AS6" s="107" t="str">
        <f t="array" aca="1" ref="AS6" ca="1">_xlfn.LET(_xlpm.targeteu,$AI6,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T6" s="107">
        <f t="array" aca="1" ref="AT6" ca="1">_xlfn.LET(_xlpm.targeteu,$AI6,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U6" s="107">
        <f t="array" aca="1" ref="AU6" ca="1">_xlfn.LET(_xlpm.targeteu,$AI6,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V6" s="107" t="str">
        <f t="array" aca="1" ref="AV6" ca="1">_xlfn.LET(_xlpm.targeteu,$AI6,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W6" s="107">
        <f t="array" aca="1" ref="AW6" ca="1">_xlfn.LET(_xlpm.targeteu,$AI6,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X6" s="107">
        <f t="array" aca="1" ref="AX6" ca="1">_xlfn.LET(_xlpm.targeteu,$AI6,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106.7</v>
      </c>
      <c r="AY6" s="107" t="str">
        <f t="array" aca="1" ref="AY6" ca="1">_xlfn.LET(_xlpm.targeteu,$AI6,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Z6" s="107">
        <f t="array" aca="1" ref="AZ6" ca="1">_xlfn.LET(_xlpm.targeteu,$AI6,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125</v>
      </c>
      <c r="BA6" s="107">
        <f t="array" aca="1" ref="BA6" ca="1">_xlfn.LET(_xlpm.targeteu,$AI6,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BB6" t="s">
        <v>571</v>
      </c>
      <c r="BC6"/>
      <c r="BD6"/>
      <c r="BE6"/>
      <c r="BF6"/>
      <c r="BG6"/>
      <c r="BH6"/>
      <c r="BI6"/>
      <c r="BJ6"/>
      <c r="BK6"/>
      <c r="BL6"/>
      <c r="BM6"/>
      <c r="BN6"/>
      <c r="BO6"/>
      <c r="BP6"/>
      <c r="BQ6"/>
      <c r="BR6"/>
      <c r="BS6"/>
    </row>
    <row r="7" spans="2:71" ht="15" customHeight="1" x14ac:dyDescent="0.25">
      <c r="B7" s="165"/>
      <c r="C7" s="165"/>
      <c r="D7" s="165"/>
      <c r="E7" s="165"/>
      <c r="F7" s="165"/>
      <c r="G7" s="165"/>
      <c r="H7" s="165"/>
      <c r="I7" s="165"/>
      <c r="J7" s="165"/>
      <c r="K7" s="165"/>
      <c r="L7" s="165"/>
      <c r="M7" s="165"/>
      <c r="N7" s="165"/>
      <c r="O7" s="165"/>
      <c r="P7" s="165"/>
      <c r="Q7" s="165"/>
      <c r="R7" s="165"/>
      <c r="S7" s="165"/>
      <c r="T7" s="165"/>
      <c r="V7"/>
      <c r="W7"/>
      <c r="X7"/>
      <c r="Y7"/>
      <c r="AA7" s="106" t="s">
        <v>373</v>
      </c>
      <c r="AB7" s="106">
        <v>30</v>
      </c>
      <c r="AC7" s="106" t="s">
        <v>152</v>
      </c>
      <c r="AD7" s="106" t="s">
        <v>392</v>
      </c>
      <c r="AE7" s="106" t="s">
        <v>395</v>
      </c>
      <c r="AF7" s="106" t="s">
        <v>394</v>
      </c>
      <c r="AG7" s="4"/>
      <c r="AH7" s="4"/>
      <c r="AI7" s="107">
        <f t="shared" si="0"/>
        <v>3</v>
      </c>
      <c r="AJ7" s="107">
        <f t="array" aca="1" ref="AJ7" ca="1">_xlfn.LET(_xlpm.targeteu,$AI7,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K7" s="107">
        <f t="array" aca="1" ref="AK7" ca="1">_xlfn.LET(_xlpm.targeteu,$AI7,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L7" s="107" t="str">
        <f t="array" aca="1" ref="AL7" ca="1">_xlfn.LET(_xlpm.targeteu,$AI7,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7" s="107">
        <f t="array" aca="1" ref="AM7" ca="1">_xlfn.LET(_xlpm.targeteu,$AI7,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N7" s="107">
        <f t="array" aca="1" ref="AN7" ca="1">_xlfn.LET(_xlpm.targeteu,$AI7,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83.3</v>
      </c>
      <c r="AO7" s="107">
        <f t="array" aca="1" ref="AO7" ca="1">_xlfn.LET(_xlpm.targeteu,$AI7,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P7" s="107">
        <f t="array" aca="1" ref="AP7" ca="1">_xlfn.LET(_xlpm.targeteu,$AI7,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130</v>
      </c>
      <c r="AQ7" s="107">
        <f t="array" aca="1" ref="AQ7" ca="1">_xlfn.LET(_xlpm.targeteu,$AI7,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R7" s="107">
        <f t="array" aca="1" ref="AR7" ca="1">_xlfn.LET(_xlpm.targeteu,$AI7,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S7" s="107">
        <f t="array" aca="1" ref="AS7" ca="1">_xlfn.LET(_xlpm.targeteu,$AI7,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140</v>
      </c>
      <c r="AT7" s="107">
        <f t="array" aca="1" ref="AT7" ca="1">_xlfn.LET(_xlpm.targeteu,$AI7,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U7" s="107">
        <f t="array" aca="1" ref="AU7" ca="1">_xlfn.LET(_xlpm.targeteu,$AI7,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V7" s="107">
        <f t="array" aca="1" ref="AV7" ca="1">_xlfn.LET(_xlpm.targeteu,$AI7,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150</v>
      </c>
      <c r="AW7" s="107">
        <f t="array" aca="1" ref="AW7" ca="1">_xlfn.LET(_xlpm.targeteu,$AI7,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X7" s="107">
        <f t="array" aca="1" ref="AX7" ca="1">_xlfn.LET(_xlpm.targeteu,$AI7,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Y7" s="107">
        <f t="array" aca="1" ref="AY7" ca="1">_xlfn.LET(_xlpm.targeteu,$AI7,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160</v>
      </c>
      <c r="AZ7" s="107">
        <f t="array" aca="1" ref="AZ7" ca="1">_xlfn.LET(_xlpm.targeteu,$AI7,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115</v>
      </c>
      <c r="BA7" s="107">
        <f t="array" aca="1" ref="BA7" ca="1">_xlfn.LET(_xlpm.targeteu,$AI7,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BB7"/>
      <c r="BC7"/>
      <c r="BD7"/>
      <c r="BE7"/>
      <c r="BF7"/>
      <c r="BG7"/>
      <c r="BH7"/>
      <c r="BI7"/>
      <c r="BJ7"/>
      <c r="BK7"/>
      <c r="BL7"/>
      <c r="BM7"/>
      <c r="BN7"/>
      <c r="BO7"/>
      <c r="BP7"/>
      <c r="BQ7"/>
      <c r="BR7"/>
      <c r="BS7"/>
    </row>
    <row r="8" spans="2:71" ht="19.5" customHeight="1" x14ac:dyDescent="0.25">
      <c r="B8" s="162" t="s">
        <v>371</v>
      </c>
      <c r="C8" s="131" t="s">
        <v>396</v>
      </c>
      <c r="D8" s="131"/>
      <c r="E8" s="131"/>
      <c r="F8" s="131" t="s">
        <v>397</v>
      </c>
      <c r="G8" s="131"/>
      <c r="H8" s="131"/>
      <c r="I8" s="131" t="s">
        <v>398</v>
      </c>
      <c r="J8" s="131"/>
      <c r="K8" s="131"/>
      <c r="L8" s="131" t="s">
        <v>399</v>
      </c>
      <c r="M8" s="131"/>
      <c r="N8" s="131"/>
      <c r="O8" s="131" t="s">
        <v>400</v>
      </c>
      <c r="P8" s="131"/>
      <c r="Q8" s="131"/>
      <c r="R8" s="131" t="s">
        <v>401</v>
      </c>
      <c r="S8" s="131"/>
      <c r="T8" s="131"/>
      <c r="V8" s="174" t="s">
        <v>575</v>
      </c>
      <c r="X8"/>
      <c r="Y8"/>
      <c r="AA8" s="106" t="s">
        <v>374</v>
      </c>
      <c r="AB8" s="106">
        <v>30</v>
      </c>
      <c r="AC8" s="106" t="s">
        <v>402</v>
      </c>
      <c r="AD8" s="106" t="s">
        <v>392</v>
      </c>
      <c r="AE8" s="106" t="s">
        <v>403</v>
      </c>
      <c r="AF8" s="106" t="s">
        <v>394</v>
      </c>
      <c r="AG8" s="4"/>
      <c r="AH8" s="4"/>
      <c r="AI8" s="107">
        <f t="shared" si="0"/>
        <v>4</v>
      </c>
      <c r="AJ8" s="107">
        <f t="array" aca="1" ref="AJ8" ca="1">_xlfn.LET(_xlpm.targeteu,$AI8,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96.7</v>
      </c>
      <c r="AK8" s="107">
        <f t="array" aca="1" ref="AK8" ca="1">_xlfn.LET(_xlpm.targeteu,$AI8,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65</v>
      </c>
      <c r="AL8" s="107" t="str">
        <f t="array" aca="1" ref="AL8" ca="1">_xlfn.LET(_xlpm.targeteu,$AI8,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8" s="107">
        <f t="array" aca="1" ref="AM8" ca="1">_xlfn.LET(_xlpm.targeteu,$AI8,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106.7</v>
      </c>
      <c r="AN8" s="107">
        <f t="array" aca="1" ref="AN8" ca="1">_xlfn.LET(_xlpm.targeteu,$AI8,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v>
      </c>
      <c r="AO8" s="107">
        <f t="array" aca="1" ref="AO8" ca="1">_xlfn.LET(_xlpm.targeteu,$AI8,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63.3</v>
      </c>
      <c r="AP8" s="107">
        <f t="array" aca="1" ref="AP8" ca="1">_xlfn.LET(_xlpm.targeteu,$AI8,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116.7</v>
      </c>
      <c r="AQ8" s="107">
        <f t="array" aca="1" ref="AQ8" ca="1">_xlfn.LET(_xlpm.targeteu,$AI8,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83.3</v>
      </c>
      <c r="AR8" s="107">
        <f t="array" aca="1" ref="AR8" ca="1">_xlfn.LET(_xlpm.targeteu,$AI8,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73.3</v>
      </c>
      <c r="AS8" s="107">
        <f t="array" aca="1" ref="AS8" ca="1">_xlfn.LET(_xlpm.targeteu,$AI8,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125</v>
      </c>
      <c r="AT8" s="107">
        <f t="array" aca="1" ref="AT8" ca="1">_xlfn.LET(_xlpm.targeteu,$AI8,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93.3</v>
      </c>
      <c r="AU8" s="107">
        <f t="array" aca="1" ref="AU8" ca="1">_xlfn.LET(_xlpm.targeteu,$AI8,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V8" s="107">
        <f t="array" aca="1" ref="AV8" ca="1">_xlfn.LET(_xlpm.targeteu,$AI8,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136.69999999999999</v>
      </c>
      <c r="AW8" s="107">
        <f t="array" aca="1" ref="AW8" ca="1">_xlfn.LET(_xlpm.targeteu,$AI8,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103.3</v>
      </c>
      <c r="AX8" s="107">
        <f t="array" aca="1" ref="AX8" ca="1">_xlfn.LET(_xlpm.targeteu,$AI8,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Y8" s="107">
        <f t="array" aca="1" ref="AY8" ca="1">_xlfn.LET(_xlpm.targeteu,$AI8,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146.69999999999999</v>
      </c>
      <c r="AZ8" s="107">
        <f t="array" aca="1" ref="AZ8" ca="1">_xlfn.LET(_xlpm.targeteu,$AI8,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106.7</v>
      </c>
      <c r="BA8" s="107">
        <f t="array" aca="1" ref="BA8" ca="1">_xlfn.LET(_xlpm.targeteu,$AI8,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93.3</v>
      </c>
      <c r="BB8"/>
      <c r="BC8"/>
      <c r="BD8"/>
      <c r="BE8"/>
      <c r="BF8"/>
      <c r="BG8"/>
      <c r="BH8"/>
      <c r="BI8"/>
      <c r="BJ8"/>
      <c r="BK8"/>
      <c r="BL8"/>
      <c r="BM8"/>
      <c r="BN8"/>
      <c r="BO8"/>
      <c r="BP8"/>
      <c r="BQ8"/>
      <c r="BR8"/>
      <c r="BS8"/>
    </row>
    <row r="9" spans="2:71" ht="19.5" customHeight="1" x14ac:dyDescent="0.25">
      <c r="B9" s="162"/>
      <c r="C9" s="108" t="s">
        <v>391</v>
      </c>
      <c r="D9" s="108" t="s">
        <v>152</v>
      </c>
      <c r="E9" s="108" t="s">
        <v>402</v>
      </c>
      <c r="F9" s="108" t="s">
        <v>391</v>
      </c>
      <c r="G9" s="108" t="s">
        <v>152</v>
      </c>
      <c r="H9" s="108" t="s">
        <v>402</v>
      </c>
      <c r="I9" s="108" t="s">
        <v>391</v>
      </c>
      <c r="J9" s="108" t="s">
        <v>152</v>
      </c>
      <c r="K9" s="108" t="s">
        <v>402</v>
      </c>
      <c r="L9" s="108" t="s">
        <v>391</v>
      </c>
      <c r="M9" s="108" t="s">
        <v>152</v>
      </c>
      <c r="N9" s="108" t="s">
        <v>402</v>
      </c>
      <c r="O9" s="108" t="s">
        <v>391</v>
      </c>
      <c r="P9" s="108" t="s">
        <v>152</v>
      </c>
      <c r="Q9" s="108" t="s">
        <v>402</v>
      </c>
      <c r="R9" s="108" t="s">
        <v>391</v>
      </c>
      <c r="S9" s="108" t="s">
        <v>152</v>
      </c>
      <c r="T9" s="108" t="s">
        <v>402</v>
      </c>
      <c r="V9" s="175" t="s">
        <v>576</v>
      </c>
      <c r="AA9" s="106" t="s">
        <v>375</v>
      </c>
      <c r="AB9" s="106">
        <v>45</v>
      </c>
      <c r="AC9" s="106" t="s">
        <v>391</v>
      </c>
      <c r="AD9" s="106" t="s">
        <v>404</v>
      </c>
      <c r="AE9" s="106" t="s">
        <v>405</v>
      </c>
      <c r="AF9" s="106" t="s">
        <v>406</v>
      </c>
      <c r="AG9" s="4"/>
      <c r="AH9" s="4"/>
      <c r="AI9" s="107">
        <f t="shared" si="0"/>
        <v>5</v>
      </c>
      <c r="AJ9" s="107">
        <f t="array" aca="1" ref="AJ9" ca="1">_xlfn.LET(_xlpm.targeteu,$AI9,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K9" s="107">
        <f t="array" aca="1" ref="AK9" ca="1">_xlfn.LET(_xlpm.targeteu,$AI9,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L9" s="107" t="str">
        <f t="array" aca="1" ref="AL9" ca="1">_xlfn.LET(_xlpm.targeteu,$AI9,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9" s="107">
        <f t="array" aca="1" ref="AM9" ca="1">_xlfn.LET(_xlpm.targeteu,$AI9,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N9" s="107">
        <f t="array" aca="1" ref="AN9" ca="1">_xlfn.LET(_xlpm.targeteu,$AI9,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AO9" s="107">
        <f t="array" aca="1" ref="AO9" ca="1">_xlfn.LET(_xlpm.targeteu,$AI9,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57.5</v>
      </c>
      <c r="AP9" s="107">
        <f t="array" aca="1" ref="AP9" ca="1">_xlfn.LET(_xlpm.targeteu,$AI9,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Q9" s="107">
        <f t="array" aca="1" ref="AQ9" ca="1">_xlfn.LET(_xlpm.targeteu,$AI9,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77.5</v>
      </c>
      <c r="AR9" s="107">
        <f t="array" aca="1" ref="AR9" ca="1">_xlfn.LET(_xlpm.targeteu,$AI9,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67.5</v>
      </c>
      <c r="AS9" s="107">
        <f t="array" aca="1" ref="AS9" ca="1">_xlfn.LET(_xlpm.targeteu,$AI9,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115</v>
      </c>
      <c r="AT9" s="107">
        <f t="array" aca="1" ref="AT9" ca="1">_xlfn.LET(_xlpm.targeteu,$AI9,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85</v>
      </c>
      <c r="AU9" s="107">
        <f t="array" aca="1" ref="AU9" ca="1">_xlfn.LET(_xlpm.targeteu,$AI9,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v>
      </c>
      <c r="AV9" s="107">
        <f t="array" aca="1" ref="AV9" ca="1">_xlfn.LET(_xlpm.targeteu,$AI9,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130</v>
      </c>
      <c r="AW9" s="107">
        <f t="array" aca="1" ref="AW9" ca="1">_xlfn.LET(_xlpm.targeteu,$AI9,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96.7</v>
      </c>
      <c r="AX9" s="107">
        <f t="array" aca="1" ref="AX9" ca="1">_xlfn.LET(_xlpm.targeteu,$AI9,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83.3</v>
      </c>
      <c r="AY9" s="107">
        <f t="array" aca="1" ref="AY9" ca="1">_xlfn.LET(_xlpm.targeteu,$AI9,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140</v>
      </c>
      <c r="AZ9" s="107">
        <f t="array" aca="1" ref="AZ9" ca="1">_xlfn.LET(_xlpm.targeteu,$AI9,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BA9" s="107">
        <f t="array" aca="1" ref="BA9" ca="1">_xlfn.LET(_xlpm.targeteu,$AI9,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87.5</v>
      </c>
      <c r="BB9" t="s">
        <v>372</v>
      </c>
      <c r="BC9" t="s">
        <v>373</v>
      </c>
      <c r="BD9" t="s">
        <v>374</v>
      </c>
      <c r="BE9" t="s">
        <v>375</v>
      </c>
      <c r="BF9" t="s">
        <v>376</v>
      </c>
      <c r="BG9" t="s">
        <v>377</v>
      </c>
      <c r="BH9" t="s">
        <v>378</v>
      </c>
      <c r="BI9" t="s">
        <v>379</v>
      </c>
      <c r="BJ9" t="s">
        <v>380</v>
      </c>
      <c r="BK9" t="s">
        <v>381</v>
      </c>
      <c r="BL9" t="s">
        <v>382</v>
      </c>
      <c r="BM9" t="s">
        <v>383</v>
      </c>
      <c r="BN9" t="s">
        <v>384</v>
      </c>
      <c r="BO9" t="s">
        <v>385</v>
      </c>
      <c r="BP9" t="s">
        <v>386</v>
      </c>
      <c r="BQ9" t="s">
        <v>387</v>
      </c>
      <c r="BR9" t="s">
        <v>388</v>
      </c>
      <c r="BS9" t="s">
        <v>389</v>
      </c>
    </row>
    <row r="10" spans="2:71" ht="19.5" customHeight="1" x14ac:dyDescent="0.25">
      <c r="B10" s="109">
        <v>2</v>
      </c>
      <c r="C10" s="173" t="str">
        <f t="shared" ref="C10:C27" ca="1" si="1">IF(AJ6="","—",AJ6)</f>
        <v>—</v>
      </c>
      <c r="D10" s="174">
        <f t="shared" ref="D10:D27" ca="1" si="2">IF(AK6="","—",AK6)</f>
        <v>80</v>
      </c>
      <c r="E10" s="173" t="str">
        <f t="shared" ref="E10:E27" ca="1" si="3">IF(AL6="","—",AL6)</f>
        <v>—</v>
      </c>
      <c r="F10" s="173" t="str">
        <f t="shared" ref="F10:F27" ca="1" si="4">IF(AM6="","—",AM6)</f>
        <v>—</v>
      </c>
      <c r="G10" s="174">
        <f t="shared" ref="G10:G27" ca="1" si="5">IF(AN6="","—",AN6)</f>
        <v>90</v>
      </c>
      <c r="H10" s="174">
        <f t="shared" ref="H10:H27" ca="1" si="6">IF(AO6="","—",AO6)</f>
        <v>80</v>
      </c>
      <c r="I10" s="173" t="str">
        <f t="shared" ref="I10:I27" ca="1" si="7">IF(AP6="","—",AP6)</f>
        <v>—</v>
      </c>
      <c r="J10" s="175">
        <f t="shared" ref="J10:J27" ca="1" si="8">IF(AQ6="","—",AQ6)</f>
        <v>96.7</v>
      </c>
      <c r="K10" s="175">
        <f t="shared" ref="K10:K27" ca="1" si="9">IF(AR6="","—",AR6)</f>
        <v>86.7</v>
      </c>
      <c r="L10" s="173" t="str">
        <f t="shared" ref="L10:L27" ca="1" si="10">IF(AS6="","—",AS6)</f>
        <v>—</v>
      </c>
      <c r="M10" s="174">
        <f t="shared" ref="M10:M27" ca="1" si="11">IF(AT6="","—",AT6)</f>
        <v>110</v>
      </c>
      <c r="N10" s="174">
        <f t="shared" ref="N10:N27" ca="1" si="12">IF(AU6="","—",AU6)</f>
        <v>100</v>
      </c>
      <c r="O10" s="173" t="str">
        <f t="shared" ref="O10:O27" ca="1" si="13">IF(AV6="","—",AV6)</f>
        <v>—</v>
      </c>
      <c r="P10" s="174">
        <f t="shared" ref="P10:P27" ca="1" si="14">IF(AW6="","—",AW6)</f>
        <v>120</v>
      </c>
      <c r="Q10" s="175">
        <f t="shared" ref="Q10:Q27" ca="1" si="15">IF(AX6="","—",AX6)</f>
        <v>106.7</v>
      </c>
      <c r="R10" s="173" t="str">
        <f t="shared" ref="R10:R27" ca="1" si="16">IF(AY6="","—",AY6)</f>
        <v>—</v>
      </c>
      <c r="S10" s="175">
        <f t="shared" ref="S10:S27" ca="1" si="17">IF(AZ6="","—",AZ6)</f>
        <v>125</v>
      </c>
      <c r="T10" s="174">
        <f t="shared" ref="T10:T27" ca="1" si="18">IF(BA6="","—",BA6)</f>
        <v>110</v>
      </c>
      <c r="V10" s="173" t="s">
        <v>577</v>
      </c>
      <c r="AA10" s="106" t="s">
        <v>376</v>
      </c>
      <c r="AB10" s="106">
        <v>45</v>
      </c>
      <c r="AC10" s="106" t="s">
        <v>152</v>
      </c>
      <c r="AD10" s="106" t="s">
        <v>404</v>
      </c>
      <c r="AE10" s="106" t="s">
        <v>407</v>
      </c>
      <c r="AF10" s="106" t="s">
        <v>406</v>
      </c>
      <c r="AG10" s="4"/>
      <c r="AH10" s="4"/>
      <c r="AI10" s="107">
        <f t="shared" si="0"/>
        <v>6</v>
      </c>
      <c r="AJ10" s="107">
        <f t="array" aca="1" ref="AJ10" ca="1">_xlfn.LET(_xlpm.targeteu,$AI10,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K10" s="107">
        <f t="array" aca="1" ref="AK10" ca="1">_xlfn.LET(_xlpm.targeteu,$AI10,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53.3</v>
      </c>
      <c r="AL10" s="107" t="str">
        <f t="array" aca="1" ref="AL10" ca="1">_xlfn.LET(_xlpm.targeteu,$AI10,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0" s="107">
        <f t="array" aca="1" ref="AM10" ca="1">_xlfn.LET(_xlpm.targeteu,$AI10,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N10" s="107">
        <f t="array" aca="1" ref="AN10" ca="1">_xlfn.LET(_xlpm.targeteu,$AI10,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O10" s="107">
        <f t="array" aca="1" ref="AO10" ca="1">_xlfn.LET(_xlpm.targeteu,$AI10,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52.5</v>
      </c>
      <c r="AP10" s="107">
        <f t="array" aca="1" ref="AP10" ca="1">_xlfn.LET(_xlpm.targeteu,$AI10,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Q10" s="107">
        <f t="array" aca="1" ref="AQ10" ca="1">_xlfn.LET(_xlpm.targeteu,$AI10,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72.5</v>
      </c>
      <c r="AR10" s="107">
        <f t="array" aca="1" ref="AR10" ca="1">_xlfn.LET(_xlpm.targeteu,$AI10,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62.5</v>
      </c>
      <c r="AS10" s="107">
        <f t="array" aca="1" ref="AS10" ca="1">_xlfn.LET(_xlpm.targeteu,$AI10,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108</v>
      </c>
      <c r="AT10" s="107">
        <f t="array" aca="1" ref="AT10" ca="1">_xlfn.LET(_xlpm.targeteu,$AI10,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78</v>
      </c>
      <c r="AU10" s="107">
        <f t="array" aca="1" ref="AU10" ca="1">_xlfn.LET(_xlpm.targeteu,$AI10,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V10" s="107">
        <f t="array" aca="1" ref="AV10" ca="1">_xlfn.LET(_xlpm.targeteu,$AI10,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W10" s="107">
        <f t="array" aca="1" ref="AW10" ca="1">_xlfn.LET(_xlpm.targeteu,$AI10,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X10" s="107">
        <f t="array" aca="1" ref="AX10" ca="1">_xlfn.LET(_xlpm.targeteu,$AI10,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78</v>
      </c>
      <c r="AY10" s="107">
        <f t="array" aca="1" ref="AY10" ca="1">_xlfn.LET(_xlpm.targeteu,$AI10,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130</v>
      </c>
      <c r="AZ10" s="107">
        <f t="array" aca="1" ref="AZ10" ca="1">_xlfn.LET(_xlpm.targeteu,$AI10,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BA10" s="107">
        <f t="array" aca="1" ref="BA10" ca="1">_xlfn.LET(_xlpm.targeteu,$AI10,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82.5</v>
      </c>
      <c r="BB10" t="s">
        <v>572</v>
      </c>
      <c r="BC10" t="s">
        <v>573</v>
      </c>
      <c r="BD10" t="s">
        <v>572</v>
      </c>
      <c r="BE10" t="s">
        <v>572</v>
      </c>
      <c r="BF10" t="s">
        <v>573</v>
      </c>
      <c r="BG10" t="s">
        <v>573</v>
      </c>
      <c r="BH10" t="s">
        <v>572</v>
      </c>
      <c r="BI10" t="s">
        <v>574</v>
      </c>
      <c r="BJ10" t="s">
        <v>574</v>
      </c>
      <c r="BK10" t="s">
        <v>572</v>
      </c>
      <c r="BL10" t="s">
        <v>573</v>
      </c>
      <c r="BM10" t="s">
        <v>573</v>
      </c>
      <c r="BN10" t="s">
        <v>572</v>
      </c>
      <c r="BO10" t="s">
        <v>573</v>
      </c>
      <c r="BP10" t="s">
        <v>574</v>
      </c>
      <c r="BQ10" t="s">
        <v>572</v>
      </c>
      <c r="BR10" t="s">
        <v>574</v>
      </c>
      <c r="BS10" t="s">
        <v>573</v>
      </c>
    </row>
    <row r="11" spans="2:71" ht="19.5" customHeight="1" x14ac:dyDescent="0.25">
      <c r="B11" s="109">
        <v>3</v>
      </c>
      <c r="C11" s="174">
        <f t="shared" ca="1" si="1"/>
        <v>110</v>
      </c>
      <c r="D11" s="174">
        <f t="shared" ca="1" si="2"/>
        <v>70</v>
      </c>
      <c r="E11" s="173" t="str">
        <f t="shared" ca="1" si="3"/>
        <v>—</v>
      </c>
      <c r="F11" s="174">
        <f t="shared" ca="1" si="4"/>
        <v>120</v>
      </c>
      <c r="G11" s="175">
        <f t="shared" ca="1" si="5"/>
        <v>83.3</v>
      </c>
      <c r="H11" s="174">
        <f t="shared" ca="1" si="6"/>
        <v>70</v>
      </c>
      <c r="I11" s="174">
        <f t="shared" ca="1" si="7"/>
        <v>130</v>
      </c>
      <c r="J11" s="174">
        <f t="shared" ca="1" si="8"/>
        <v>90</v>
      </c>
      <c r="K11" s="174">
        <f t="shared" ca="1" si="9"/>
        <v>80</v>
      </c>
      <c r="L11" s="174">
        <f t="shared" ca="1" si="10"/>
        <v>140</v>
      </c>
      <c r="M11" s="174">
        <f t="shared" ca="1" si="11"/>
        <v>100</v>
      </c>
      <c r="N11" s="174">
        <f t="shared" ca="1" si="12"/>
        <v>90</v>
      </c>
      <c r="O11" s="174">
        <f t="shared" ca="1" si="13"/>
        <v>150</v>
      </c>
      <c r="P11" s="174">
        <f t="shared" ca="1" si="14"/>
        <v>110</v>
      </c>
      <c r="Q11" s="174">
        <f t="shared" ca="1" si="15"/>
        <v>100</v>
      </c>
      <c r="R11" s="174">
        <f t="shared" ca="1" si="16"/>
        <v>160</v>
      </c>
      <c r="S11" s="175">
        <f t="shared" ca="1" si="17"/>
        <v>115</v>
      </c>
      <c r="T11" s="174">
        <f t="shared" ca="1" si="18"/>
        <v>100</v>
      </c>
      <c r="AA11" s="106" t="s">
        <v>377</v>
      </c>
      <c r="AB11" s="106">
        <v>45</v>
      </c>
      <c r="AC11" s="106" t="s">
        <v>402</v>
      </c>
      <c r="AD11" s="106" t="s">
        <v>404</v>
      </c>
      <c r="AE11" s="106" t="s">
        <v>408</v>
      </c>
      <c r="AF11" s="106" t="s">
        <v>406</v>
      </c>
      <c r="AG11" s="4"/>
      <c r="AH11" s="4"/>
      <c r="AI11" s="107">
        <f t="shared" si="0"/>
        <v>7</v>
      </c>
      <c r="AJ11" s="107">
        <f t="array" aca="1" ref="AJ11" ca="1">_xlfn.LET(_xlpm.targeteu,$AI11,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v>
      </c>
      <c r="AK11" s="107">
        <f t="array" aca="1" ref="AK11" ca="1">_xlfn.LET(_xlpm.targeteu,$AI11,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v>
      </c>
      <c r="AL11" s="107" t="str">
        <f t="array" aca="1" ref="AL11" ca="1">_xlfn.LET(_xlpm.targeteu,$AI11,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1" s="107">
        <f t="array" aca="1" ref="AM11" ca="1">_xlfn.LET(_xlpm.targeteu,$AI11,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85</v>
      </c>
      <c r="AN11" s="107">
        <f t="array" aca="1" ref="AN11" ca="1">_xlfn.LET(_xlpm.targeteu,$AI11,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O11" s="107" t="str">
        <f t="array" aca="1" ref="AO11" ca="1">_xlfn.LET(_xlpm.targeteu,$AI11,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1" s="107">
        <f t="array" aca="1" ref="AP11" ca="1">_xlfn.LET(_xlpm.targeteu,$AI11,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93.3</v>
      </c>
      <c r="AQ11" s="107">
        <f t="array" aca="1" ref="AQ11" ca="1">_xlfn.LET(_xlpm.targeteu,$AI11,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68</v>
      </c>
      <c r="AR11" s="107">
        <f t="array" aca="1" ref="AR11" ca="1">_xlfn.LET(_xlpm.targeteu,$AI11,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58</v>
      </c>
      <c r="AS11" s="107">
        <f t="array" aca="1" ref="AS11" ca="1">_xlfn.LET(_xlpm.targeteu,$AI11,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104</v>
      </c>
      <c r="AT11" s="107">
        <f t="array" aca="1" ref="AT11" ca="1">_xlfn.LET(_xlpm.targeteu,$AI11,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74</v>
      </c>
      <c r="AU11" s="107">
        <f t="array" aca="1" ref="AU11" ca="1">_xlfn.LET(_xlpm.targeteu,$AI11,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65</v>
      </c>
      <c r="AV11" s="107">
        <f t="array" aca="1" ref="AV11" ca="1">_xlfn.LET(_xlpm.targeteu,$AI11,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115</v>
      </c>
      <c r="AW11" s="107">
        <f t="array" aca="1" ref="AW11" ca="1">_xlfn.LET(_xlpm.targeteu,$AI11,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85</v>
      </c>
      <c r="AX11" s="107">
        <f t="array" aca="1" ref="AX11" ca="1">_xlfn.LET(_xlpm.targeteu,$AI11,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74</v>
      </c>
      <c r="AY11" s="107">
        <f t="array" aca="1" ref="AY11" ca="1">_xlfn.LET(_xlpm.targeteu,$AI11,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125</v>
      </c>
      <c r="AZ11" s="107">
        <f t="array" aca="1" ref="AZ11" ca="1">_xlfn.LET(_xlpm.targeteu,$AI11,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86</v>
      </c>
      <c r="BA11" s="107">
        <f t="array" aca="1" ref="BA11" ca="1">_xlfn.LET(_xlpm.targeteu,$AI11,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78</v>
      </c>
      <c r="BB11" t="s">
        <v>573</v>
      </c>
      <c r="BC11" t="s">
        <v>573</v>
      </c>
      <c r="BD11" t="s">
        <v>572</v>
      </c>
      <c r="BE11" t="s">
        <v>573</v>
      </c>
      <c r="BF11" t="s">
        <v>574</v>
      </c>
      <c r="BG11" t="s">
        <v>573</v>
      </c>
      <c r="BH11" t="s">
        <v>573</v>
      </c>
      <c r="BI11" t="s">
        <v>573</v>
      </c>
      <c r="BJ11" t="s">
        <v>573</v>
      </c>
      <c r="BK11" t="s">
        <v>573</v>
      </c>
      <c r="BL11" t="s">
        <v>573</v>
      </c>
      <c r="BM11" t="s">
        <v>573</v>
      </c>
      <c r="BN11" t="s">
        <v>573</v>
      </c>
      <c r="BO11" t="s">
        <v>573</v>
      </c>
      <c r="BP11" t="s">
        <v>573</v>
      </c>
      <c r="BQ11" t="s">
        <v>573</v>
      </c>
      <c r="BR11" t="s">
        <v>574</v>
      </c>
      <c r="BS11" t="s">
        <v>573</v>
      </c>
    </row>
    <row r="12" spans="2:71" ht="19.5" customHeight="1" x14ac:dyDescent="0.25">
      <c r="B12" s="109">
        <v>4</v>
      </c>
      <c r="C12" s="175">
        <f t="shared" ca="1" si="1"/>
        <v>96.7</v>
      </c>
      <c r="D12" s="175">
        <f t="shared" ca="1" si="2"/>
        <v>65</v>
      </c>
      <c r="E12" s="173" t="str">
        <f t="shared" ca="1" si="3"/>
        <v>—</v>
      </c>
      <c r="F12" s="175">
        <f t="shared" ca="1" si="4"/>
        <v>106.7</v>
      </c>
      <c r="G12" s="175">
        <f t="shared" ca="1" si="5"/>
        <v>75</v>
      </c>
      <c r="H12" s="175">
        <f t="shared" ca="1" si="6"/>
        <v>63.3</v>
      </c>
      <c r="I12" s="175">
        <f t="shared" ca="1" si="7"/>
        <v>116.7</v>
      </c>
      <c r="J12" s="175">
        <f t="shared" ca="1" si="8"/>
        <v>83.3</v>
      </c>
      <c r="K12" s="175">
        <f t="shared" ca="1" si="9"/>
        <v>73.3</v>
      </c>
      <c r="L12" s="175">
        <f t="shared" ca="1" si="10"/>
        <v>125</v>
      </c>
      <c r="M12" s="175">
        <f t="shared" ca="1" si="11"/>
        <v>93.3</v>
      </c>
      <c r="N12" s="174">
        <f t="shared" ca="1" si="12"/>
        <v>80</v>
      </c>
      <c r="O12" s="175">
        <f t="shared" ca="1" si="13"/>
        <v>136.69999999999999</v>
      </c>
      <c r="P12" s="175">
        <f t="shared" ca="1" si="14"/>
        <v>103.3</v>
      </c>
      <c r="Q12" s="174">
        <f t="shared" ca="1" si="15"/>
        <v>90</v>
      </c>
      <c r="R12" s="175">
        <f t="shared" ca="1" si="16"/>
        <v>146.69999999999999</v>
      </c>
      <c r="S12" s="175">
        <f t="shared" ca="1" si="17"/>
        <v>106.7</v>
      </c>
      <c r="T12" s="175">
        <f t="shared" ca="1" si="18"/>
        <v>93.3</v>
      </c>
      <c r="AA12" s="106" t="s">
        <v>378</v>
      </c>
      <c r="AB12" s="106">
        <v>60</v>
      </c>
      <c r="AC12" s="106" t="s">
        <v>391</v>
      </c>
      <c r="AD12" s="106" t="s">
        <v>409</v>
      </c>
      <c r="AE12" s="106" t="s">
        <v>410</v>
      </c>
      <c r="AF12" s="106" t="s">
        <v>411</v>
      </c>
      <c r="AG12" s="4"/>
      <c r="AH12" s="4"/>
      <c r="AI12" s="107">
        <f t="shared" si="0"/>
        <v>8</v>
      </c>
      <c r="AJ12" s="107">
        <f t="array" aca="1" ref="AJ12" ca="1">_xlfn.LET(_xlpm.targeteu,$AI12,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K12" s="107">
        <f t="array" aca="1" ref="AK12" ca="1">_xlfn.LET(_xlpm.targeteu,$AI12,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44</v>
      </c>
      <c r="AL12" s="107" t="str">
        <f t="array" aca="1" ref="AL12" ca="1">_xlfn.LET(_xlpm.targeteu,$AI12,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2" s="107">
        <f t="array" aca="1" ref="AM12" ca="1">_xlfn.LET(_xlpm.targeteu,$AI12,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N12" s="107">
        <f t="array" aca="1" ref="AN12" ca="1">_xlfn.LET(_xlpm.targeteu,$AI12,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53.3</v>
      </c>
      <c r="AO12" s="107" t="str">
        <f t="array" aca="1" ref="AO12" ca="1">_xlfn.LET(_xlpm.targeteu,$AI12,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2" s="107">
        <f t="array" aca="1" ref="AP12" ca="1">_xlfn.LET(_xlpm.targeteu,$AI12,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88</v>
      </c>
      <c r="AQ12" s="107">
        <f t="array" aca="1" ref="AQ12" ca="1">_xlfn.LET(_xlpm.targeteu,$AI12,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64</v>
      </c>
      <c r="AR12" s="107">
        <f t="array" aca="1" ref="AR12" ca="1">_xlfn.LET(_xlpm.targeteu,$AI12,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54</v>
      </c>
      <c r="AS12" s="107">
        <f t="array" aca="1" ref="AS12" ca="1">_xlfn.LET(_xlpm.targeteu,$AI12,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T12" s="107">
        <f t="array" aca="1" ref="AT12" ca="1">_xlfn.LET(_xlpm.targeteu,$AI12,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U12" s="107">
        <f t="array" aca="1" ref="AU12" ca="1">_xlfn.LET(_xlpm.targeteu,$AI12,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V12" s="107">
        <f t="array" aca="1" ref="AV12" ca="1">_xlfn.LET(_xlpm.targeteu,$AI12,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W12" s="107">
        <f t="array" aca="1" ref="AW12" ca="1">_xlfn.LET(_xlpm.targeteu,$AI12,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X12" s="107">
        <f t="array" aca="1" ref="AX12" ca="1">_xlfn.LET(_xlpm.targeteu,$AI12,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Y12" s="107">
        <f t="array" aca="1" ref="AY12" ca="1">_xlfn.LET(_xlpm.targeteu,$AI12,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120</v>
      </c>
      <c r="AZ12" s="107">
        <f t="array" aca="1" ref="AZ12" ca="1">_xlfn.LET(_xlpm.targeteu,$AI12,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82</v>
      </c>
      <c r="BA12" s="107">
        <f t="array" aca="1" ref="BA12" ca="1">_xlfn.LET(_xlpm.targeteu,$AI12,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74</v>
      </c>
      <c r="BB12" t="s">
        <v>574</v>
      </c>
      <c r="BC12" t="s">
        <v>574</v>
      </c>
      <c r="BD12" t="s">
        <v>572</v>
      </c>
      <c r="BE12" t="s">
        <v>574</v>
      </c>
      <c r="BF12" t="s">
        <v>574</v>
      </c>
      <c r="BG12" t="s">
        <v>574</v>
      </c>
      <c r="BH12" t="s">
        <v>574</v>
      </c>
      <c r="BI12" t="s">
        <v>574</v>
      </c>
      <c r="BJ12" t="s">
        <v>574</v>
      </c>
      <c r="BK12" t="s">
        <v>574</v>
      </c>
      <c r="BL12" t="s">
        <v>574</v>
      </c>
      <c r="BM12" t="s">
        <v>573</v>
      </c>
      <c r="BN12" t="s">
        <v>574</v>
      </c>
      <c r="BO12" t="s">
        <v>574</v>
      </c>
      <c r="BP12" t="s">
        <v>573</v>
      </c>
      <c r="BQ12" t="s">
        <v>574</v>
      </c>
      <c r="BR12" t="s">
        <v>574</v>
      </c>
      <c r="BS12" t="s">
        <v>574</v>
      </c>
    </row>
    <row r="13" spans="2:71" ht="19.5" customHeight="1" x14ac:dyDescent="0.25">
      <c r="B13" s="109">
        <v>5</v>
      </c>
      <c r="C13" s="174">
        <f t="shared" ca="1" si="1"/>
        <v>90</v>
      </c>
      <c r="D13" s="174">
        <f t="shared" ca="1" si="2"/>
        <v>60</v>
      </c>
      <c r="E13" s="173" t="str">
        <f t="shared" ca="1" si="3"/>
        <v>—</v>
      </c>
      <c r="F13" s="174">
        <f t="shared" ca="1" si="4"/>
        <v>100</v>
      </c>
      <c r="G13" s="175">
        <f t="shared" ca="1" si="5"/>
        <v>66.7</v>
      </c>
      <c r="H13" s="175">
        <f t="shared" ca="1" si="6"/>
        <v>57.5</v>
      </c>
      <c r="I13" s="174">
        <f t="shared" ca="1" si="7"/>
        <v>110</v>
      </c>
      <c r="J13" s="175">
        <f t="shared" ca="1" si="8"/>
        <v>77.5</v>
      </c>
      <c r="K13" s="175">
        <f t="shared" ca="1" si="9"/>
        <v>67.5</v>
      </c>
      <c r="L13" s="175">
        <f t="shared" ca="1" si="10"/>
        <v>115</v>
      </c>
      <c r="M13" s="175">
        <f t="shared" ca="1" si="11"/>
        <v>85</v>
      </c>
      <c r="N13" s="175">
        <f t="shared" ca="1" si="12"/>
        <v>75</v>
      </c>
      <c r="O13" s="174">
        <f t="shared" ca="1" si="13"/>
        <v>130</v>
      </c>
      <c r="P13" s="175">
        <f t="shared" ca="1" si="14"/>
        <v>96.7</v>
      </c>
      <c r="Q13" s="175">
        <f t="shared" ca="1" si="15"/>
        <v>83.3</v>
      </c>
      <c r="R13" s="174">
        <f t="shared" ca="1" si="16"/>
        <v>140</v>
      </c>
      <c r="S13" s="174">
        <f t="shared" ca="1" si="17"/>
        <v>100</v>
      </c>
      <c r="T13" s="175">
        <f t="shared" ca="1" si="18"/>
        <v>87.5</v>
      </c>
      <c r="AA13" s="106" t="s">
        <v>379</v>
      </c>
      <c r="AB13" s="106">
        <v>60</v>
      </c>
      <c r="AC13" s="106" t="s">
        <v>152</v>
      </c>
      <c r="AD13" s="106" t="s">
        <v>409</v>
      </c>
      <c r="AE13" s="106" t="s">
        <v>412</v>
      </c>
      <c r="AF13" s="106" t="s">
        <v>411</v>
      </c>
      <c r="AG13" s="4"/>
      <c r="AH13" s="4"/>
      <c r="AI13" s="107">
        <f t="shared" si="0"/>
        <v>10</v>
      </c>
      <c r="AJ13" s="107">
        <f t="array" aca="1" ref="AJ13" ca="1">_xlfn.LET(_xlpm.targeteu,$AI13,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K13" s="107">
        <f t="array" aca="1" ref="AK13" ca="1">_xlfn.LET(_xlpm.targeteu,$AI13,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36</v>
      </c>
      <c r="AL13" s="107" t="str">
        <f t="array" aca="1" ref="AL13" ca="1">_xlfn.LET(_xlpm.targeteu,$AI13,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3" s="107">
        <f t="array" aca="1" ref="AM13" ca="1">_xlfn.LET(_xlpm.targeteu,$AI13,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N13" s="107">
        <f t="array" aca="1" ref="AN13" ca="1">_xlfn.LET(_xlpm.targeteu,$AI13,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46.7</v>
      </c>
      <c r="AO13" s="107" t="str">
        <f t="array" aca="1" ref="AO13" ca="1">_xlfn.LET(_xlpm.targeteu,$AI13,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3" s="107">
        <f t="array" aca="1" ref="AP13" ca="1">_xlfn.LET(_xlpm.targeteu,$AI13,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Q13" s="107">
        <f t="array" aca="1" ref="AQ13" ca="1">_xlfn.LET(_xlpm.targeteu,$AI13,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R13" s="107" t="str">
        <f t="array" aca="1" ref="AR13" ca="1">_xlfn.LET(_xlpm.targeteu,$AI13,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3" s="107">
        <f t="array" aca="1" ref="AS13" ca="1">_xlfn.LET(_xlpm.targeteu,$AI13,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T13" s="107">
        <f t="array" aca="1" ref="AT13" ca="1">_xlfn.LET(_xlpm.targeteu,$AI13,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62</v>
      </c>
      <c r="AU13" s="107" t="str">
        <f t="array" aca="1" ref="AU13" ca="1">_xlfn.LET(_xlpm.targeteu,$AI13,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3" s="107">
        <f t="array" aca="1" ref="AV13" ca="1">_xlfn.LET(_xlpm.targeteu,$AI13,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W13" s="107">
        <f t="array" aca="1" ref="AW13" ca="1">_xlfn.LET(_xlpm.targeteu,$AI13,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X13" s="107">
        <f t="array" aca="1" ref="AX13" ca="1">_xlfn.LET(_xlpm.targeteu,$AI13,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Y13" s="107">
        <f t="array" aca="1" ref="AY13" ca="1">_xlfn.LET(_xlpm.targeteu,$AI13,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110</v>
      </c>
      <c r="AZ13" s="107">
        <f t="array" aca="1" ref="AZ13" ca="1">_xlfn.LET(_xlpm.targeteu,$AI13,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75.7</v>
      </c>
      <c r="BA13" s="107">
        <f t="array" aca="1" ref="BA13" ca="1">_xlfn.LET(_xlpm.targeteu,$AI13,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BB13" t="s">
        <v>573</v>
      </c>
      <c r="BC13" t="s">
        <v>573</v>
      </c>
      <c r="BD13" t="s">
        <v>572</v>
      </c>
      <c r="BE13" t="s">
        <v>573</v>
      </c>
      <c r="BF13" t="s">
        <v>574</v>
      </c>
      <c r="BG13" t="s">
        <v>574</v>
      </c>
      <c r="BH13" t="s">
        <v>573</v>
      </c>
      <c r="BI13" t="s">
        <v>574</v>
      </c>
      <c r="BJ13" t="s">
        <v>574</v>
      </c>
      <c r="BK13" t="s">
        <v>574</v>
      </c>
      <c r="BL13" t="s">
        <v>574</v>
      </c>
      <c r="BM13" t="s">
        <v>574</v>
      </c>
      <c r="BN13" t="s">
        <v>573</v>
      </c>
      <c r="BO13" t="s">
        <v>574</v>
      </c>
      <c r="BP13" t="s">
        <v>574</v>
      </c>
      <c r="BQ13" t="s">
        <v>573</v>
      </c>
      <c r="BR13" t="s">
        <v>573</v>
      </c>
      <c r="BS13" t="s">
        <v>574</v>
      </c>
    </row>
    <row r="14" spans="2:71" ht="19.5" customHeight="1" x14ac:dyDescent="0.25">
      <c r="B14" s="109">
        <v>6</v>
      </c>
      <c r="C14" s="174">
        <f t="shared" ca="1" si="1"/>
        <v>80</v>
      </c>
      <c r="D14" s="175">
        <f t="shared" ca="1" si="2"/>
        <v>53.3</v>
      </c>
      <c r="E14" s="173" t="str">
        <f t="shared" ca="1" si="3"/>
        <v>—</v>
      </c>
      <c r="F14" s="174">
        <f t="shared" ca="1" si="4"/>
        <v>90</v>
      </c>
      <c r="G14" s="174">
        <f t="shared" ca="1" si="5"/>
        <v>60</v>
      </c>
      <c r="H14" s="175">
        <f t="shared" ca="1" si="6"/>
        <v>52.5</v>
      </c>
      <c r="I14" s="174">
        <f t="shared" ca="1" si="7"/>
        <v>100</v>
      </c>
      <c r="J14" s="175">
        <f t="shared" ca="1" si="8"/>
        <v>72.5</v>
      </c>
      <c r="K14" s="175">
        <f t="shared" ca="1" si="9"/>
        <v>62.5</v>
      </c>
      <c r="L14" s="175">
        <f t="shared" ca="1" si="10"/>
        <v>108</v>
      </c>
      <c r="M14" s="175">
        <f t="shared" ca="1" si="11"/>
        <v>78</v>
      </c>
      <c r="N14" s="174">
        <f t="shared" ca="1" si="12"/>
        <v>70</v>
      </c>
      <c r="O14" s="174">
        <f t="shared" ca="1" si="13"/>
        <v>120</v>
      </c>
      <c r="P14" s="174">
        <f t="shared" ca="1" si="14"/>
        <v>90</v>
      </c>
      <c r="Q14" s="175">
        <f t="shared" ca="1" si="15"/>
        <v>78</v>
      </c>
      <c r="R14" s="174">
        <f t="shared" ca="1" si="16"/>
        <v>130</v>
      </c>
      <c r="S14" s="174">
        <f t="shared" ca="1" si="17"/>
        <v>90</v>
      </c>
      <c r="T14" s="175">
        <f t="shared" ca="1" si="18"/>
        <v>82.5</v>
      </c>
      <c r="AA14" s="106" t="s">
        <v>380</v>
      </c>
      <c r="AB14" s="106">
        <v>60</v>
      </c>
      <c r="AC14" s="106" t="s">
        <v>402</v>
      </c>
      <c r="AD14" s="106" t="s">
        <v>409</v>
      </c>
      <c r="AE14" s="106" t="s">
        <v>413</v>
      </c>
      <c r="AF14" s="106" t="s">
        <v>411</v>
      </c>
      <c r="AG14" s="4"/>
      <c r="AH14" s="4"/>
      <c r="AI14" s="107">
        <f t="shared" si="0"/>
        <v>12</v>
      </c>
      <c r="AJ14" s="107">
        <f t="array" aca="1" ref="AJ14" ca="1">_xlfn.LET(_xlpm.targeteu,$AI14,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AK14" s="107">
        <f t="array" aca="1" ref="AK14" ca="1">_xlfn.LET(_xlpm.targeteu,$AI14,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28.6</v>
      </c>
      <c r="AL14" s="107" t="str">
        <f t="array" aca="1" ref="AL14" ca="1">_xlfn.LET(_xlpm.targeteu,$AI14,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4" s="107">
        <f t="array" aca="1" ref="AM14" ca="1">_xlfn.LET(_xlpm.targeteu,$AI14,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N14" s="107">
        <f t="array" aca="1" ref="AN14" ca="1">_xlfn.LET(_xlpm.targeteu,$AI14,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O14" s="107" t="str">
        <f t="array" aca="1" ref="AO14" ca="1">_xlfn.LET(_xlpm.targeteu,$AI14,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4" s="107">
        <f t="array" aca="1" ref="AP14" ca="1">_xlfn.LET(_xlpm.targeteu,$AI14,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Q14" s="107">
        <f t="array" aca="1" ref="AQ14" ca="1">_xlfn.LET(_xlpm.targeteu,$AI14,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AR14" s="107" t="str">
        <f t="array" aca="1" ref="AR14" ca="1">_xlfn.LET(_xlpm.targeteu,$AI14,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4" s="107">
        <f t="array" aca="1" ref="AS14" ca="1">_xlfn.LET(_xlpm.targeteu,$AI14,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T14" s="107">
        <f t="array" aca="1" ref="AT14" ca="1">_xlfn.LET(_xlpm.targeteu,$AI14,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55.7</v>
      </c>
      <c r="AU14" s="107" t="str">
        <f t="array" aca="1" ref="AU14" ca="1">_xlfn.LET(_xlpm.targeteu,$AI14,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4" s="107">
        <f t="array" aca="1" ref="AV14" ca="1">_xlfn.LET(_xlpm.targeteu,$AI14,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W14" s="107">
        <f t="array" aca="1" ref="AW14" ca="1">_xlfn.LET(_xlpm.targeteu,$AI14,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64.3</v>
      </c>
      <c r="AX14" s="107">
        <f t="array" aca="1" ref="AX14" ca="1">_xlfn.LET(_xlpm.targeteu,$AI14,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v>
      </c>
      <c r="AY14" s="107">
        <f t="array" aca="1" ref="AY14" ca="1">_xlfn.LET(_xlpm.targeteu,$AI14,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100</v>
      </c>
      <c r="AZ14" s="107">
        <f t="array" aca="1" ref="AZ14" ca="1">_xlfn.LET(_xlpm.targeteu,$AI14,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BA14" s="107">
        <f t="array" aca="1" ref="BA14" ca="1">_xlfn.LET(_xlpm.targeteu,$AI14,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BB14" t="s">
        <v>573</v>
      </c>
      <c r="BC14" t="s">
        <v>574</v>
      </c>
      <c r="BD14" t="s">
        <v>572</v>
      </c>
      <c r="BE14" t="s">
        <v>573</v>
      </c>
      <c r="BF14" t="s">
        <v>573</v>
      </c>
      <c r="BG14" t="s">
        <v>574</v>
      </c>
      <c r="BH14" t="s">
        <v>573</v>
      </c>
      <c r="BI14" t="s">
        <v>574</v>
      </c>
      <c r="BJ14" t="s">
        <v>574</v>
      </c>
      <c r="BK14" t="s">
        <v>574</v>
      </c>
      <c r="BL14" t="s">
        <v>574</v>
      </c>
      <c r="BM14" t="s">
        <v>573</v>
      </c>
      <c r="BN14" t="s">
        <v>573</v>
      </c>
      <c r="BO14" t="s">
        <v>573</v>
      </c>
      <c r="BP14" t="s">
        <v>574</v>
      </c>
      <c r="BQ14" t="s">
        <v>573</v>
      </c>
      <c r="BR14" t="s">
        <v>573</v>
      </c>
      <c r="BS14" t="s">
        <v>574</v>
      </c>
    </row>
    <row r="15" spans="2:71" ht="19.5" customHeight="1" x14ac:dyDescent="0.25">
      <c r="B15" s="109">
        <v>7</v>
      </c>
      <c r="C15" s="175">
        <f t="shared" ca="1" si="1"/>
        <v>75</v>
      </c>
      <c r="D15" s="175">
        <f t="shared" ca="1" si="2"/>
        <v>48</v>
      </c>
      <c r="E15" s="173" t="str">
        <f t="shared" ca="1" si="3"/>
        <v>—</v>
      </c>
      <c r="F15" s="175">
        <f t="shared" ca="1" si="4"/>
        <v>85</v>
      </c>
      <c r="G15" s="175">
        <f t="shared" ca="1" si="5"/>
        <v>56.7</v>
      </c>
      <c r="H15" s="173" t="str">
        <f t="shared" ca="1" si="6"/>
        <v>—</v>
      </c>
      <c r="I15" s="175">
        <f t="shared" ca="1" si="7"/>
        <v>93.3</v>
      </c>
      <c r="J15" s="175">
        <f t="shared" ca="1" si="8"/>
        <v>68</v>
      </c>
      <c r="K15" s="175">
        <f t="shared" ca="1" si="9"/>
        <v>58</v>
      </c>
      <c r="L15" s="175">
        <f t="shared" ca="1" si="10"/>
        <v>104</v>
      </c>
      <c r="M15" s="175">
        <f t="shared" ca="1" si="11"/>
        <v>74</v>
      </c>
      <c r="N15" s="175">
        <f t="shared" ca="1" si="12"/>
        <v>65</v>
      </c>
      <c r="O15" s="175">
        <f t="shared" ca="1" si="13"/>
        <v>115</v>
      </c>
      <c r="P15" s="175">
        <f t="shared" ca="1" si="14"/>
        <v>85</v>
      </c>
      <c r="Q15" s="175">
        <f t="shared" ca="1" si="15"/>
        <v>74</v>
      </c>
      <c r="R15" s="175">
        <f t="shared" ca="1" si="16"/>
        <v>125</v>
      </c>
      <c r="S15" s="175">
        <f t="shared" ca="1" si="17"/>
        <v>86</v>
      </c>
      <c r="T15" s="175">
        <f t="shared" ca="1" si="18"/>
        <v>78</v>
      </c>
      <c r="AA15" s="106" t="s">
        <v>381</v>
      </c>
      <c r="AB15" s="106">
        <v>80</v>
      </c>
      <c r="AC15" s="106" t="s">
        <v>391</v>
      </c>
      <c r="AD15" s="106" t="s">
        <v>414</v>
      </c>
      <c r="AE15" s="106" t="s">
        <v>415</v>
      </c>
      <c r="AF15" s="106" t="s">
        <v>416</v>
      </c>
      <c r="AG15" s="4"/>
      <c r="AH15" s="4"/>
      <c r="AI15" s="107">
        <f t="shared" si="0"/>
        <v>15</v>
      </c>
      <c r="AJ15" s="107">
        <f t="array" aca="1" ref="AJ15" ca="1">_xlfn.LET(_xlpm.targeteu,$AI15,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38.6</v>
      </c>
      <c r="AK15" s="107">
        <f t="array" aca="1" ref="AK15" ca="1">_xlfn.LET(_xlpm.targeteu,$AI15,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20</v>
      </c>
      <c r="AL15" s="107" t="str">
        <f t="array" aca="1" ref="AL15" ca="1">_xlfn.LET(_xlpm.targeteu,$AI15,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5" s="107">
        <f t="array" aca="1" ref="AM15" ca="1">_xlfn.LET(_xlpm.targeteu,$AI15,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AN15" s="107">
        <f t="array" aca="1" ref="AN15" ca="1">_xlfn.LET(_xlpm.targeteu,$AI15,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31.4</v>
      </c>
      <c r="AO15" s="107" t="str">
        <f t="array" aca="1" ref="AO15" ca="1">_xlfn.LET(_xlpm.targeteu,$AI15,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5" s="107">
        <f t="array" aca="1" ref="AP15" ca="1">_xlfn.LET(_xlpm.targeteu,$AI15,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60</v>
      </c>
      <c r="AQ15" s="107">
        <f t="array" aca="1" ref="AQ15" ca="1">_xlfn.LET(_xlpm.targeteu,$AI15,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42.5</v>
      </c>
      <c r="AR15" s="107" t="str">
        <f t="array" aca="1" ref="AR15" ca="1">_xlfn.LET(_xlpm.targeteu,$AI15,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5" s="107">
        <f t="array" aca="1" ref="AS15" ca="1">_xlfn.LET(_xlpm.targeteu,$AI15,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70</v>
      </c>
      <c r="AT15" s="107">
        <f t="array" aca="1" ref="AT15" ca="1">_xlfn.LET(_xlpm.targeteu,$AI15,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48.3</v>
      </c>
      <c r="AU15" s="107" t="str">
        <f t="array" aca="1" ref="AU15" ca="1">_xlfn.LET(_xlpm.targeteu,$AI15,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5" s="107">
        <f t="array" aca="1" ref="AV15" ca="1">_xlfn.LET(_xlpm.targeteu,$AI15,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80</v>
      </c>
      <c r="AW15" s="107">
        <f t="array" aca="1" ref="AW15" ca="1">_xlfn.LET(_xlpm.targeteu,$AI15,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57.3</v>
      </c>
      <c r="AX15" s="107" t="str">
        <f t="array" aca="1" ref="AX15" ca="1">_xlfn.LET(_xlpm.targeteu,$AI15,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5" s="107">
        <f t="array" aca="1" ref="AY15" ca="1">_xlfn.LET(_xlpm.targeteu,$AI15,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90</v>
      </c>
      <c r="AZ15" s="107">
        <f t="array" aca="1" ref="AZ15" ca="1">_xlfn.LET(_xlpm.targeteu,$AI15,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64</v>
      </c>
      <c r="BA15" s="107">
        <f t="array" aca="1" ref="BA15" ca="1">_xlfn.LET(_xlpm.targeteu,$AI15,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v>
      </c>
      <c r="BB15" t="s">
        <v>574</v>
      </c>
      <c r="BC15" t="s">
        <v>574</v>
      </c>
      <c r="BD15" t="s">
        <v>572</v>
      </c>
      <c r="BE15" t="s">
        <v>574</v>
      </c>
      <c r="BF15" t="s">
        <v>574</v>
      </c>
      <c r="BG15" t="s">
        <v>572</v>
      </c>
      <c r="BH15" t="s">
        <v>574</v>
      </c>
      <c r="BI15" t="s">
        <v>574</v>
      </c>
      <c r="BJ15" t="s">
        <v>574</v>
      </c>
      <c r="BK15" t="s">
        <v>574</v>
      </c>
      <c r="BL15" t="s">
        <v>574</v>
      </c>
      <c r="BM15" t="s">
        <v>574</v>
      </c>
      <c r="BN15" t="s">
        <v>574</v>
      </c>
      <c r="BO15" t="s">
        <v>574</v>
      </c>
      <c r="BP15" t="s">
        <v>574</v>
      </c>
      <c r="BQ15" t="s">
        <v>574</v>
      </c>
      <c r="BR15" t="s">
        <v>574</v>
      </c>
      <c r="BS15" t="s">
        <v>574</v>
      </c>
    </row>
    <row r="16" spans="2:71" ht="19.5" customHeight="1" x14ac:dyDescent="0.25">
      <c r="B16" s="109">
        <v>8</v>
      </c>
      <c r="C16" s="174">
        <f t="shared" ca="1" si="1"/>
        <v>70</v>
      </c>
      <c r="D16" s="175">
        <f t="shared" ca="1" si="2"/>
        <v>44</v>
      </c>
      <c r="E16" s="173" t="str">
        <f t="shared" ca="1" si="3"/>
        <v>—</v>
      </c>
      <c r="F16" s="174">
        <f t="shared" ca="1" si="4"/>
        <v>80</v>
      </c>
      <c r="G16" s="175">
        <f t="shared" ca="1" si="5"/>
        <v>53.3</v>
      </c>
      <c r="H16" s="173" t="str">
        <f t="shared" ca="1" si="6"/>
        <v>—</v>
      </c>
      <c r="I16" s="175">
        <f t="shared" ca="1" si="7"/>
        <v>88</v>
      </c>
      <c r="J16" s="175">
        <f t="shared" ca="1" si="8"/>
        <v>64</v>
      </c>
      <c r="K16" s="175">
        <f t="shared" ca="1" si="9"/>
        <v>54</v>
      </c>
      <c r="L16" s="174">
        <f t="shared" ca="1" si="10"/>
        <v>100</v>
      </c>
      <c r="M16" s="174">
        <f t="shared" ca="1" si="11"/>
        <v>70</v>
      </c>
      <c r="N16" s="174">
        <f t="shared" ca="1" si="12"/>
        <v>60</v>
      </c>
      <c r="O16" s="174">
        <f t="shared" ca="1" si="13"/>
        <v>110</v>
      </c>
      <c r="P16" s="174">
        <f t="shared" ca="1" si="14"/>
        <v>80</v>
      </c>
      <c r="Q16" s="174">
        <f t="shared" ca="1" si="15"/>
        <v>70</v>
      </c>
      <c r="R16" s="174">
        <f t="shared" ca="1" si="16"/>
        <v>120</v>
      </c>
      <c r="S16" s="175">
        <f t="shared" ca="1" si="17"/>
        <v>82</v>
      </c>
      <c r="T16" s="175">
        <f t="shared" ca="1" si="18"/>
        <v>74</v>
      </c>
      <c r="AA16" s="106" t="s">
        <v>382</v>
      </c>
      <c r="AB16" s="106">
        <v>80</v>
      </c>
      <c r="AC16" s="106" t="s">
        <v>152</v>
      </c>
      <c r="AD16" s="106" t="s">
        <v>414</v>
      </c>
      <c r="AE16" s="106" t="s">
        <v>417</v>
      </c>
      <c r="AF16" s="106" t="s">
        <v>416</v>
      </c>
      <c r="AG16" s="4"/>
      <c r="AH16" s="4"/>
      <c r="AI16" s="107">
        <f t="shared" si="0"/>
        <v>18</v>
      </c>
      <c r="AJ16" s="107">
        <f t="array" aca="1" ref="AJ16" ca="1">_xlfn.LET(_xlpm.targeteu,$AI16,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30</v>
      </c>
      <c r="AK16" s="107" t="str">
        <f t="array" aca="1" ref="AK16" ca="1">_xlfn.LET(_xlpm.targeteu,$AI16,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6" s="107" t="str">
        <f t="array" aca="1" ref="AL16" ca="1">_xlfn.LET(_xlpm.targeteu,$AI16,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6" s="107">
        <f t="array" aca="1" ref="AM16" ca="1">_xlfn.LET(_xlpm.targeteu,$AI16,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N16" s="107">
        <f t="array" aca="1" ref="AN16" ca="1">_xlfn.LET(_xlpm.targeteu,$AI16,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24.4</v>
      </c>
      <c r="AO16" s="107" t="str">
        <f t="array" aca="1" ref="AO16" ca="1">_xlfn.LET(_xlpm.targeteu,$AI16,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6" s="107">
        <f t="array" aca="1" ref="AP16" ca="1">_xlfn.LET(_xlpm.targeteu,$AI16,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51.4</v>
      </c>
      <c r="AQ16" s="107">
        <f t="array" aca="1" ref="AQ16" ca="1">_xlfn.LET(_xlpm.targeteu,$AI16,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35</v>
      </c>
      <c r="AR16" s="107" t="str">
        <f t="array" aca="1" ref="AR16" ca="1">_xlfn.LET(_xlpm.targeteu,$AI16,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6" s="107">
        <f t="array" aca="1" ref="AS16" ca="1">_xlfn.LET(_xlpm.targeteu,$AI16,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61.4</v>
      </c>
      <c r="AT16" s="107">
        <f t="array" aca="1" ref="AT16" ca="1">_xlfn.LET(_xlpm.targeteu,$AI16,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43.3</v>
      </c>
      <c r="AU16" s="107" t="str">
        <f t="array" aca="1" ref="AU16" ca="1">_xlfn.LET(_xlpm.targeteu,$AI16,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6" s="107">
        <f t="array" aca="1" ref="AV16" ca="1">_xlfn.LET(_xlpm.targeteu,$AI16,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71.400000000000006</v>
      </c>
      <c r="AW16" s="107">
        <f t="array" aca="1" ref="AW16" ca="1">_xlfn.LET(_xlpm.targeteu,$AI16,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51.8</v>
      </c>
      <c r="AX16" s="107" t="str">
        <f t="array" aca="1" ref="AX16" ca="1">_xlfn.LET(_xlpm.targeteu,$AI16,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6" s="107">
        <f t="array" aca="1" ref="AY16" ca="1">_xlfn.LET(_xlpm.targeteu,$AI16,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81.400000000000006</v>
      </c>
      <c r="AZ16" s="107">
        <f t="array" aca="1" ref="AZ16" ca="1">_xlfn.LET(_xlpm.targeteu,$AI16,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58.6</v>
      </c>
      <c r="BA16" s="107">
        <f t="array" aca="1" ref="BA16" ca="1">_xlfn.LET(_xlpm.targeteu,$AI16,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50</v>
      </c>
      <c r="BB16" t="s">
        <v>573</v>
      </c>
      <c r="BC16" t="s">
        <v>574</v>
      </c>
      <c r="BD16" t="s">
        <v>572</v>
      </c>
      <c r="BE16" t="s">
        <v>573</v>
      </c>
      <c r="BF16" t="s">
        <v>574</v>
      </c>
      <c r="BG16" t="s">
        <v>572</v>
      </c>
      <c r="BH16" t="s">
        <v>574</v>
      </c>
      <c r="BI16" t="s">
        <v>574</v>
      </c>
      <c r="BJ16" t="s">
        <v>574</v>
      </c>
      <c r="BK16" t="s">
        <v>573</v>
      </c>
      <c r="BL16" t="s">
        <v>573</v>
      </c>
      <c r="BM16" t="s">
        <v>573</v>
      </c>
      <c r="BN16" t="s">
        <v>573</v>
      </c>
      <c r="BO16" t="s">
        <v>573</v>
      </c>
      <c r="BP16" t="s">
        <v>573</v>
      </c>
      <c r="BQ16" t="s">
        <v>573</v>
      </c>
      <c r="BR16" t="s">
        <v>574</v>
      </c>
      <c r="BS16" t="s">
        <v>574</v>
      </c>
    </row>
    <row r="17" spans="2:71" ht="19.5" customHeight="1" x14ac:dyDescent="0.25">
      <c r="B17" s="109">
        <v>10</v>
      </c>
      <c r="C17" s="174">
        <f t="shared" ca="1" si="1"/>
        <v>60</v>
      </c>
      <c r="D17" s="175">
        <f t="shared" ca="1" si="2"/>
        <v>36</v>
      </c>
      <c r="E17" s="173" t="str">
        <f t="shared" ca="1" si="3"/>
        <v>—</v>
      </c>
      <c r="F17" s="174">
        <f t="shared" ca="1" si="4"/>
        <v>70</v>
      </c>
      <c r="G17" s="175">
        <f t="shared" ca="1" si="5"/>
        <v>46.7</v>
      </c>
      <c r="H17" s="173" t="str">
        <f t="shared" ca="1" si="6"/>
        <v>—</v>
      </c>
      <c r="I17" s="174">
        <f t="shared" ca="1" si="7"/>
        <v>80</v>
      </c>
      <c r="J17" s="175">
        <f t="shared" ca="1" si="8"/>
        <v>56.7</v>
      </c>
      <c r="K17" s="173" t="str">
        <f t="shared" ca="1" si="9"/>
        <v>—</v>
      </c>
      <c r="L17" s="174">
        <f t="shared" ca="1" si="10"/>
        <v>90</v>
      </c>
      <c r="M17" s="175">
        <f t="shared" ca="1" si="11"/>
        <v>62</v>
      </c>
      <c r="N17" s="173" t="str">
        <f t="shared" ca="1" si="12"/>
        <v>—</v>
      </c>
      <c r="O17" s="174">
        <f t="shared" ca="1" si="13"/>
        <v>100</v>
      </c>
      <c r="P17" s="174">
        <f t="shared" ca="1" si="14"/>
        <v>70</v>
      </c>
      <c r="Q17" s="174">
        <f t="shared" ca="1" si="15"/>
        <v>60</v>
      </c>
      <c r="R17" s="174">
        <f t="shared" ca="1" si="16"/>
        <v>110</v>
      </c>
      <c r="S17" s="175">
        <f t="shared" ca="1" si="17"/>
        <v>75.7</v>
      </c>
      <c r="T17" s="175">
        <f t="shared" ca="1" si="18"/>
        <v>66.7</v>
      </c>
      <c r="AA17" s="106" t="s">
        <v>383</v>
      </c>
      <c r="AB17" s="106">
        <v>80</v>
      </c>
      <c r="AC17" s="106" t="s">
        <v>402</v>
      </c>
      <c r="AD17" s="106" t="s">
        <v>414</v>
      </c>
      <c r="AE17" s="106" t="s">
        <v>418</v>
      </c>
      <c r="AF17" s="106" t="s">
        <v>416</v>
      </c>
      <c r="AG17" s="4"/>
      <c r="AH17" s="4"/>
      <c r="AI17" s="107">
        <f t="shared" si="0"/>
        <v>20</v>
      </c>
      <c r="AJ17" s="107">
        <f t="array" aca="1" ref="AJ17" ca="1">_xlfn.LET(_xlpm.targeteu,$AI17,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23.3</v>
      </c>
      <c r="AK17" s="107" t="str">
        <f t="array" aca="1" ref="AK17" ca="1">_xlfn.LET(_xlpm.targeteu,$AI17,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7" s="107" t="str">
        <f t="array" aca="1" ref="AL17" ca="1">_xlfn.LET(_xlpm.targeteu,$AI17,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7" s="107">
        <f t="array" aca="1" ref="AM17" ca="1">_xlfn.LET(_xlpm.targeteu,$AI17,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35</v>
      </c>
      <c r="AN17" s="107">
        <f t="array" aca="1" ref="AN17" ca="1">_xlfn.LET(_xlpm.targeteu,$AI17,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20</v>
      </c>
      <c r="AO17" s="107" t="str">
        <f t="array" aca="1" ref="AO17" ca="1">_xlfn.LET(_xlpm.targeteu,$AI17,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7" s="107">
        <f t="array" aca="1" ref="AP17" ca="1">_xlfn.LET(_xlpm.targeteu,$AI17,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46.7</v>
      </c>
      <c r="AQ17" s="107">
        <f t="array" aca="1" ref="AQ17" ca="1">_xlfn.LET(_xlpm.targeteu,$AI17,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30</v>
      </c>
      <c r="AR17" s="107" t="str">
        <f t="array" aca="1" ref="AR17" ca="1">_xlfn.LET(_xlpm.targeteu,$AI17,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7" s="107">
        <f t="array" aca="1" ref="AS17" ca="1">_xlfn.LET(_xlpm.targeteu,$AI17,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T17" s="107">
        <f t="array" aca="1" ref="AT17" ca="1">_xlfn.LET(_xlpm.targeteu,$AI17,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U17" s="107" t="str">
        <f t="array" aca="1" ref="AU17" ca="1">_xlfn.LET(_xlpm.targeteu,$AI17,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7" s="107">
        <f t="array" aca="1" ref="AV17" ca="1">_xlfn.LET(_xlpm.targeteu,$AI17,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AW17" s="107">
        <f t="array" aca="1" ref="AW17" ca="1">_xlfn.LET(_xlpm.targeteu,$AI17,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48.3</v>
      </c>
      <c r="AX17" s="107" t="str">
        <f t="array" aca="1" ref="AX17" ca="1">_xlfn.LET(_xlpm.targeteu,$AI17,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7" s="107">
        <f t="array" aca="1" ref="AY17" ca="1">_xlfn.LET(_xlpm.targeteu,$AI17,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76.7</v>
      </c>
      <c r="AZ17" s="107">
        <f t="array" aca="1" ref="AZ17" ca="1">_xlfn.LET(_xlpm.targeteu,$AI17,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55.7</v>
      </c>
      <c r="BA17" s="107" t="str">
        <f t="array" aca="1" ref="BA17" ca="1">_xlfn.LET(_xlpm.targeteu,$AI17,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17" t="s">
        <v>573</v>
      </c>
      <c r="BC17" t="s">
        <v>574</v>
      </c>
      <c r="BD17" t="s">
        <v>572</v>
      </c>
      <c r="BE17" t="s">
        <v>573</v>
      </c>
      <c r="BF17" t="s">
        <v>574</v>
      </c>
      <c r="BG17" t="s">
        <v>572</v>
      </c>
      <c r="BH17" t="s">
        <v>573</v>
      </c>
      <c r="BI17" t="s">
        <v>574</v>
      </c>
      <c r="BJ17" t="s">
        <v>572</v>
      </c>
      <c r="BK17" t="s">
        <v>573</v>
      </c>
      <c r="BL17" t="s">
        <v>574</v>
      </c>
      <c r="BM17" t="s">
        <v>572</v>
      </c>
      <c r="BN17" t="s">
        <v>573</v>
      </c>
      <c r="BO17" t="s">
        <v>573</v>
      </c>
      <c r="BP17" t="s">
        <v>573</v>
      </c>
      <c r="BQ17" t="s">
        <v>573</v>
      </c>
      <c r="BR17" t="s">
        <v>574</v>
      </c>
      <c r="BS17" t="s">
        <v>574</v>
      </c>
    </row>
    <row r="18" spans="2:71" ht="19.5" customHeight="1" x14ac:dyDescent="0.25">
      <c r="B18" s="109">
        <v>12</v>
      </c>
      <c r="C18" s="174">
        <f t="shared" ca="1" si="1"/>
        <v>50</v>
      </c>
      <c r="D18" s="175">
        <f t="shared" ca="1" si="2"/>
        <v>28.6</v>
      </c>
      <c r="E18" s="173" t="str">
        <f t="shared" ca="1" si="3"/>
        <v>—</v>
      </c>
      <c r="F18" s="174">
        <f t="shared" ca="1" si="4"/>
        <v>60</v>
      </c>
      <c r="G18" s="174">
        <f t="shared" ca="1" si="5"/>
        <v>40</v>
      </c>
      <c r="H18" s="173" t="str">
        <f t="shared" ca="1" si="6"/>
        <v>—</v>
      </c>
      <c r="I18" s="174">
        <f t="shared" ca="1" si="7"/>
        <v>70</v>
      </c>
      <c r="J18" s="174">
        <f t="shared" ca="1" si="8"/>
        <v>50</v>
      </c>
      <c r="K18" s="173" t="str">
        <f t="shared" ca="1" si="9"/>
        <v>—</v>
      </c>
      <c r="L18" s="174">
        <f t="shared" ca="1" si="10"/>
        <v>80</v>
      </c>
      <c r="M18" s="175">
        <f t="shared" ca="1" si="11"/>
        <v>55.7</v>
      </c>
      <c r="N18" s="173" t="str">
        <f t="shared" ca="1" si="12"/>
        <v>—</v>
      </c>
      <c r="O18" s="174">
        <f t="shared" ca="1" si="13"/>
        <v>90</v>
      </c>
      <c r="P18" s="175">
        <f t="shared" ca="1" si="14"/>
        <v>64.3</v>
      </c>
      <c r="Q18" s="175">
        <f t="shared" ca="1" si="15"/>
        <v>55</v>
      </c>
      <c r="R18" s="174">
        <f t="shared" ca="1" si="16"/>
        <v>100</v>
      </c>
      <c r="S18" s="174">
        <f t="shared" ca="1" si="17"/>
        <v>70</v>
      </c>
      <c r="T18" s="174">
        <f t="shared" ca="1" si="18"/>
        <v>60</v>
      </c>
      <c r="AA18" s="106" t="s">
        <v>384</v>
      </c>
      <c r="AB18" s="106">
        <v>120</v>
      </c>
      <c r="AC18" s="106" t="s">
        <v>391</v>
      </c>
      <c r="AD18" s="106" t="s">
        <v>419</v>
      </c>
      <c r="AE18" s="106" t="s">
        <v>420</v>
      </c>
      <c r="AF18" s="106" t="s">
        <v>421</v>
      </c>
      <c r="AG18" s="4"/>
      <c r="AH18" s="4"/>
      <c r="AI18" s="107">
        <f t="shared" si="0"/>
        <v>25</v>
      </c>
      <c r="AJ18" s="107">
        <f t="array" aca="1" ref="AJ18" ca="1">_xlfn.LET(_xlpm.targeteu,$AI18,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v>
      </c>
      <c r="AK18" s="107" t="str">
        <f t="array" aca="1" ref="AK18" ca="1">_xlfn.LET(_xlpm.targeteu,$AI18,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8" s="107" t="str">
        <f t="array" aca="1" ref="AL18" ca="1">_xlfn.LET(_xlpm.targeteu,$AI18,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8" s="107">
        <f t="array" aca="1" ref="AM18" ca="1">_xlfn.LET(_xlpm.targeteu,$AI18,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25.7</v>
      </c>
      <c r="AN18" s="107" t="str">
        <f t="array" aca="1" ref="AN18" ca="1">_xlfn.LET(_xlpm.targeteu,$AI18,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18" s="107" t="str">
        <f t="array" aca="1" ref="AO18" ca="1">_xlfn.LET(_xlpm.targeteu,$AI18,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8" s="107">
        <f t="array" aca="1" ref="AP18" ca="1">_xlfn.LET(_xlpm.targeteu,$AI18,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36.700000000000003</v>
      </c>
      <c r="AQ18" s="107">
        <f t="array" aca="1" ref="AQ18" ca="1">_xlfn.LET(_xlpm.targeteu,$AI18,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22.9</v>
      </c>
      <c r="AR18" s="107" t="str">
        <f t="array" aca="1" ref="AR18" ca="1">_xlfn.LET(_xlpm.targeteu,$AI18,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8" s="107">
        <f t="array" aca="1" ref="AS18" ca="1">_xlfn.LET(_xlpm.targeteu,$AI18,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46.7</v>
      </c>
      <c r="AT18" s="107">
        <f t="array" aca="1" ref="AT18" ca="1">_xlfn.LET(_xlpm.targeteu,$AI18,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31.7</v>
      </c>
      <c r="AU18" s="107" t="str">
        <f t="array" aca="1" ref="AU18" ca="1">_xlfn.LET(_xlpm.targeteu,$AI18,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8" s="107">
        <f t="array" aca="1" ref="AV18" ca="1">_xlfn.LET(_xlpm.targeteu,$AI18,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56.7</v>
      </c>
      <c r="AW18" s="107">
        <f t="array" aca="1" ref="AW18" ca="1">_xlfn.LET(_xlpm.targeteu,$AI18,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X18" s="107" t="str">
        <f t="array" aca="1" ref="AX18" ca="1">_xlfn.LET(_xlpm.targeteu,$AI18,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8" s="107">
        <f t="array" aca="1" ref="AY18" ca="1">_xlfn.LET(_xlpm.targeteu,$AI18,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66.7</v>
      </c>
      <c r="AZ18" s="107">
        <f t="array" aca="1" ref="AZ18" ca="1">_xlfn.LET(_xlpm.targeteu,$AI18,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48.8</v>
      </c>
      <c r="BA18" s="107" t="str">
        <f t="array" aca="1" ref="BA18" ca="1">_xlfn.LET(_xlpm.targeteu,$AI18,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18" t="s">
        <v>573</v>
      </c>
      <c r="BC18" t="s">
        <v>574</v>
      </c>
      <c r="BD18" t="s">
        <v>572</v>
      </c>
      <c r="BE18" t="s">
        <v>573</v>
      </c>
      <c r="BF18" t="s">
        <v>573</v>
      </c>
      <c r="BG18" t="s">
        <v>572</v>
      </c>
      <c r="BH18" t="s">
        <v>573</v>
      </c>
      <c r="BI18" t="s">
        <v>573</v>
      </c>
      <c r="BJ18" t="s">
        <v>572</v>
      </c>
      <c r="BK18" t="s">
        <v>573</v>
      </c>
      <c r="BL18" t="s">
        <v>574</v>
      </c>
      <c r="BM18" t="s">
        <v>572</v>
      </c>
      <c r="BN18" t="s">
        <v>573</v>
      </c>
      <c r="BO18" t="s">
        <v>574</v>
      </c>
      <c r="BP18" t="s">
        <v>574</v>
      </c>
      <c r="BQ18" t="s">
        <v>573</v>
      </c>
      <c r="BR18" t="s">
        <v>573</v>
      </c>
      <c r="BS18" t="s">
        <v>573</v>
      </c>
    </row>
    <row r="19" spans="2:71" ht="19.5" customHeight="1" x14ac:dyDescent="0.25">
      <c r="B19" s="109">
        <v>15</v>
      </c>
      <c r="C19" s="175">
        <f t="shared" ca="1" si="1"/>
        <v>38.6</v>
      </c>
      <c r="D19" s="174">
        <f t="shared" ca="1" si="2"/>
        <v>20</v>
      </c>
      <c r="E19" s="173" t="str">
        <f t="shared" ca="1" si="3"/>
        <v>—</v>
      </c>
      <c r="F19" s="174">
        <f ca="1">IF(AM15="","—",AM15)</f>
        <v>50</v>
      </c>
      <c r="G19" s="175">
        <f t="shared" ca="1" si="5"/>
        <v>31.4</v>
      </c>
      <c r="H19" s="173" t="str">
        <f t="shared" ca="1" si="6"/>
        <v>—</v>
      </c>
      <c r="I19" s="174">
        <f t="shared" ca="1" si="7"/>
        <v>60</v>
      </c>
      <c r="J19" s="175">
        <f t="shared" ca="1" si="8"/>
        <v>42.5</v>
      </c>
      <c r="K19" s="173" t="str">
        <f t="shared" ca="1" si="9"/>
        <v>—</v>
      </c>
      <c r="L19" s="174">
        <f t="shared" ca="1" si="10"/>
        <v>70</v>
      </c>
      <c r="M19" s="175">
        <f t="shared" ca="1" si="11"/>
        <v>48.3</v>
      </c>
      <c r="N19" s="173" t="str">
        <f t="shared" ca="1" si="12"/>
        <v>—</v>
      </c>
      <c r="O19" s="174">
        <f t="shared" ca="1" si="13"/>
        <v>80</v>
      </c>
      <c r="P19" s="175">
        <f t="shared" ca="1" si="14"/>
        <v>57.3</v>
      </c>
      <c r="Q19" s="173" t="str">
        <f t="shared" ca="1" si="15"/>
        <v>—</v>
      </c>
      <c r="R19" s="174">
        <f t="shared" ca="1" si="16"/>
        <v>90</v>
      </c>
      <c r="S19" s="175">
        <f t="shared" ca="1" si="17"/>
        <v>64</v>
      </c>
      <c r="T19" s="175">
        <f t="shared" ca="1" si="18"/>
        <v>55</v>
      </c>
      <c r="AA19" s="106" t="s">
        <v>385</v>
      </c>
      <c r="AB19" s="106">
        <v>120</v>
      </c>
      <c r="AC19" s="106" t="s">
        <v>152</v>
      </c>
      <c r="AD19" s="106" t="s">
        <v>419</v>
      </c>
      <c r="AE19" s="106" t="s">
        <v>422</v>
      </c>
      <c r="AF19" s="106" t="s">
        <v>421</v>
      </c>
      <c r="AG19" s="4"/>
      <c r="AH19" s="4"/>
      <c r="AI19" s="107">
        <f t="shared" si="0"/>
        <v>30</v>
      </c>
      <c r="AJ19" s="107">
        <f t="array" aca="1" ref="AJ19" ca="1">_xlfn.LET(_xlpm.targeteu,$AI19,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0</v>
      </c>
      <c r="AK19" s="107" t="str">
        <f t="array" aca="1" ref="AK19" ca="1">_xlfn.LET(_xlpm.targeteu,$AI19,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19" s="107" t="str">
        <f t="array" aca="1" ref="AL19" ca="1">_xlfn.LET(_xlpm.targeteu,$AI19,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19" s="107">
        <f t="array" aca="1" ref="AM19" ca="1">_xlfn.LET(_xlpm.targeteu,$AI19,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18.600000000000001</v>
      </c>
      <c r="AN19" s="107" t="str">
        <f t="array" aca="1" ref="AN19" ca="1">_xlfn.LET(_xlpm.targeteu,$AI19,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19" s="107" t="str">
        <f t="array" aca="1" ref="AO19" ca="1">_xlfn.LET(_xlpm.targeteu,$AI19,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19" s="107">
        <f t="array" aca="1" ref="AP19" ca="1">_xlfn.LET(_xlpm.targeteu,$AI19,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28.6</v>
      </c>
      <c r="AQ19" s="107" t="str">
        <f t="array" aca="1" ref="AQ19" ca="1">_xlfn.LET(_xlpm.targeteu,$AI19,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19" s="107" t="str">
        <f t="array" aca="1" ref="AR19" ca="1">_xlfn.LET(_xlpm.targeteu,$AI19,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19" s="107">
        <f t="array" aca="1" ref="AS19" ca="1">_xlfn.LET(_xlpm.targeteu,$AI19,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38.6</v>
      </c>
      <c r="AT19" s="107">
        <f t="array" aca="1" ref="AT19" ca="1">_xlfn.LET(_xlpm.targeteu,$AI19,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24.3</v>
      </c>
      <c r="AU19" s="107" t="str">
        <f t="array" aca="1" ref="AU19" ca="1">_xlfn.LET(_xlpm.targeteu,$AI19,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19" s="107">
        <f t="array" aca="1" ref="AV19" ca="1">_xlfn.LET(_xlpm.targeteu,$AI19,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48.6</v>
      </c>
      <c r="AW19" s="107">
        <f t="array" aca="1" ref="AW19" ca="1">_xlfn.LET(_xlpm.targeteu,$AI19,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33.799999999999997</v>
      </c>
      <c r="AX19" s="107" t="str">
        <f t="array" aca="1" ref="AX19" ca="1">_xlfn.LET(_xlpm.targeteu,$AI19,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19" s="107">
        <f t="array" aca="1" ref="AY19" ca="1">_xlfn.LET(_xlpm.targeteu,$AI19,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58.6</v>
      </c>
      <c r="AZ19" s="107">
        <f t="array" aca="1" ref="AZ19" ca="1">_xlfn.LET(_xlpm.targeteu,$AI19,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42.5</v>
      </c>
      <c r="BA19" s="107" t="str">
        <f t="array" aca="1" ref="BA19" ca="1">_xlfn.LET(_xlpm.targeteu,$AI19,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19" t="s">
        <v>574</v>
      </c>
      <c r="BC19" t="s">
        <v>573</v>
      </c>
      <c r="BD19" t="s">
        <v>572</v>
      </c>
      <c r="BE19" t="s">
        <v>573</v>
      </c>
      <c r="BF19" t="s">
        <v>574</v>
      </c>
      <c r="BG19" t="s">
        <v>572</v>
      </c>
      <c r="BH19" t="s">
        <v>573</v>
      </c>
      <c r="BI19" t="s">
        <v>574</v>
      </c>
      <c r="BJ19" t="s">
        <v>572</v>
      </c>
      <c r="BK19" t="s">
        <v>573</v>
      </c>
      <c r="BL19" t="s">
        <v>574</v>
      </c>
      <c r="BM19" t="s">
        <v>572</v>
      </c>
      <c r="BN19" t="s">
        <v>573</v>
      </c>
      <c r="BO19" t="s">
        <v>574</v>
      </c>
      <c r="BP19" t="s">
        <v>572</v>
      </c>
      <c r="BQ19" t="s">
        <v>573</v>
      </c>
      <c r="BR19" t="s">
        <v>574</v>
      </c>
      <c r="BS19" t="s">
        <v>574</v>
      </c>
    </row>
    <row r="20" spans="2:71" ht="19.5" customHeight="1" x14ac:dyDescent="0.25">
      <c r="B20" s="109">
        <v>18</v>
      </c>
      <c r="C20" s="174">
        <f t="shared" ca="1" si="1"/>
        <v>30</v>
      </c>
      <c r="D20" s="173" t="str">
        <f t="shared" ca="1" si="2"/>
        <v>—</v>
      </c>
      <c r="E20" s="173" t="str">
        <f t="shared" ca="1" si="3"/>
        <v>—</v>
      </c>
      <c r="F20" s="174">
        <f t="shared" ca="1" si="4"/>
        <v>40</v>
      </c>
      <c r="G20" s="175">
        <f t="shared" ca="1" si="5"/>
        <v>24.4</v>
      </c>
      <c r="H20" s="173" t="str">
        <f t="shared" ca="1" si="6"/>
        <v>—</v>
      </c>
      <c r="I20" s="175">
        <f t="shared" ca="1" si="7"/>
        <v>51.4</v>
      </c>
      <c r="J20" s="175">
        <f t="shared" ca="1" si="8"/>
        <v>35</v>
      </c>
      <c r="K20" s="173" t="str">
        <f t="shared" ca="1" si="9"/>
        <v>—</v>
      </c>
      <c r="L20" s="175">
        <f t="shared" ca="1" si="10"/>
        <v>61.4</v>
      </c>
      <c r="M20" s="175">
        <f t="shared" ca="1" si="11"/>
        <v>43.3</v>
      </c>
      <c r="N20" s="173" t="str">
        <f t="shared" ca="1" si="12"/>
        <v>—</v>
      </c>
      <c r="O20" s="175">
        <f t="shared" ca="1" si="13"/>
        <v>71.400000000000006</v>
      </c>
      <c r="P20" s="175">
        <f t="shared" ca="1" si="14"/>
        <v>51.8</v>
      </c>
      <c r="Q20" s="173" t="str">
        <f t="shared" ca="1" si="15"/>
        <v>—</v>
      </c>
      <c r="R20" s="175">
        <f t="shared" ca="1" si="16"/>
        <v>81.400000000000006</v>
      </c>
      <c r="S20" s="175">
        <f t="shared" ca="1" si="17"/>
        <v>58.6</v>
      </c>
      <c r="T20" s="174">
        <f t="shared" ca="1" si="18"/>
        <v>50</v>
      </c>
      <c r="AA20" s="106" t="s">
        <v>386</v>
      </c>
      <c r="AB20" s="106">
        <v>120</v>
      </c>
      <c r="AC20" s="106" t="s">
        <v>402</v>
      </c>
      <c r="AD20" s="106" t="s">
        <v>419</v>
      </c>
      <c r="AE20" s="106" t="s">
        <v>423</v>
      </c>
      <c r="AF20" s="106" t="s">
        <v>421</v>
      </c>
      <c r="AG20" s="4"/>
      <c r="AH20" s="4"/>
      <c r="AI20" s="107">
        <f t="shared" si="0"/>
        <v>35</v>
      </c>
      <c r="AJ20" s="107" t="str">
        <f t="array" aca="1" ref="AJ20" ca="1">_xlfn.LET(_xlpm.targeteu,$AI20,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0" s="107" t="str">
        <f t="array" aca="1" ref="AK20" ca="1">_xlfn.LET(_xlpm.targeteu,$AI20,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0" s="107" t="str">
        <f t="array" aca="1" ref="AL20" ca="1">_xlfn.LET(_xlpm.targeteu,$AI20,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0" s="107">
        <f t="array" aca="1" ref="AM20" ca="1">_xlfn.LET(_xlpm.targeteu,$AI20,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11.4</v>
      </c>
      <c r="AN20" s="107" t="str">
        <f t="array" aca="1" ref="AN20" ca="1">_xlfn.LET(_xlpm.targeteu,$AI20,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0" s="107" t="str">
        <f t="array" aca="1" ref="AO20" ca="1">_xlfn.LET(_xlpm.targeteu,$AI20,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0" s="107">
        <f t="array" aca="1" ref="AP20" ca="1">_xlfn.LET(_xlpm.targeteu,$AI20,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21.4</v>
      </c>
      <c r="AQ20" s="107" t="str">
        <f t="array" aca="1" ref="AQ20" ca="1">_xlfn.LET(_xlpm.targeteu,$AI20,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0" s="107" t="str">
        <f t="array" aca="1" ref="AR20" ca="1">_xlfn.LET(_xlpm.targeteu,$AI20,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0" s="107">
        <f t="array" aca="1" ref="AS20" ca="1">_xlfn.LET(_xlpm.targeteu,$AI20,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31.4</v>
      </c>
      <c r="AT20" s="107" t="str">
        <f t="array" aca="1" ref="AT20" ca="1">_xlfn.LET(_xlpm.targeteu,$AI20,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0" s="107" t="str">
        <f t="array" aca="1" ref="AU20" ca="1">_xlfn.LET(_xlpm.targeteu,$AI20,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0" s="107">
        <f t="array" aca="1" ref="AV20" ca="1">_xlfn.LET(_xlpm.targeteu,$AI20,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41.4</v>
      </c>
      <c r="AW20" s="107" t="str">
        <f t="array" aca="1" ref="AW20" ca="1">_xlfn.LET(_xlpm.targeteu,$AI20,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0" s="107" t="str">
        <f t="array" aca="1" ref="AX20" ca="1">_xlfn.LET(_xlpm.targeteu,$AI20,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0" s="107">
        <f t="array" aca="1" ref="AY20" ca="1">_xlfn.LET(_xlpm.targeteu,$AI20,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51.4</v>
      </c>
      <c r="AZ20" s="107" t="str">
        <f t="array" aca="1" ref="AZ20" ca="1">_xlfn.LET(_xlpm.targeteu,$AI20,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0" s="107" t="str">
        <f t="array" aca="1" ref="BA20" ca="1">_xlfn.LET(_xlpm.targeteu,$AI20,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0" t="s">
        <v>573</v>
      </c>
      <c r="BC20" t="s">
        <v>572</v>
      </c>
      <c r="BD20" t="s">
        <v>572</v>
      </c>
      <c r="BE20" t="s">
        <v>573</v>
      </c>
      <c r="BF20" t="s">
        <v>574</v>
      </c>
      <c r="BG20" t="s">
        <v>572</v>
      </c>
      <c r="BH20" t="s">
        <v>574</v>
      </c>
      <c r="BI20" t="s">
        <v>574</v>
      </c>
      <c r="BJ20" t="s">
        <v>572</v>
      </c>
      <c r="BK20" t="s">
        <v>574</v>
      </c>
      <c r="BL20" t="s">
        <v>574</v>
      </c>
      <c r="BM20" t="s">
        <v>572</v>
      </c>
      <c r="BN20" t="s">
        <v>574</v>
      </c>
      <c r="BO20" t="s">
        <v>574</v>
      </c>
      <c r="BP20" t="s">
        <v>572</v>
      </c>
      <c r="BQ20" t="s">
        <v>574</v>
      </c>
      <c r="BR20" t="s">
        <v>574</v>
      </c>
      <c r="BS20" t="s">
        <v>573</v>
      </c>
    </row>
    <row r="21" spans="2:71" ht="19.5" customHeight="1" x14ac:dyDescent="0.25">
      <c r="B21" s="109">
        <v>20</v>
      </c>
      <c r="C21" s="175">
        <f t="shared" ca="1" si="1"/>
        <v>23.3</v>
      </c>
      <c r="D21" s="173" t="str">
        <f t="shared" ca="1" si="2"/>
        <v>—</v>
      </c>
      <c r="E21" s="173" t="str">
        <f t="shared" ca="1" si="3"/>
        <v>—</v>
      </c>
      <c r="F21" s="175">
        <f t="shared" ca="1" si="4"/>
        <v>35</v>
      </c>
      <c r="G21" s="174">
        <f t="shared" ca="1" si="5"/>
        <v>20</v>
      </c>
      <c r="H21" s="173" t="str">
        <f t="shared" ca="1" si="6"/>
        <v>—</v>
      </c>
      <c r="I21" s="175">
        <f t="shared" ca="1" si="7"/>
        <v>46.7</v>
      </c>
      <c r="J21" s="174">
        <f t="shared" ca="1" si="8"/>
        <v>30</v>
      </c>
      <c r="K21" s="173" t="str">
        <f t="shared" ca="1" si="9"/>
        <v>—</v>
      </c>
      <c r="L21" s="175">
        <f t="shared" ca="1" si="10"/>
        <v>56.7</v>
      </c>
      <c r="M21" s="174">
        <f t="shared" ca="1" si="11"/>
        <v>40</v>
      </c>
      <c r="N21" s="173" t="str">
        <f t="shared" ca="1" si="12"/>
        <v>—</v>
      </c>
      <c r="O21" s="175">
        <f t="shared" ca="1" si="13"/>
        <v>66.7</v>
      </c>
      <c r="P21" s="175">
        <f t="shared" ca="1" si="14"/>
        <v>48.3</v>
      </c>
      <c r="Q21" s="173" t="str">
        <f t="shared" ca="1" si="15"/>
        <v>—</v>
      </c>
      <c r="R21" s="175">
        <f t="shared" ca="1" si="16"/>
        <v>76.7</v>
      </c>
      <c r="S21" s="175">
        <f t="shared" ca="1" si="17"/>
        <v>55.7</v>
      </c>
      <c r="T21" s="173" t="str">
        <f t="shared" ca="1" si="18"/>
        <v>—</v>
      </c>
      <c r="AA21" s="106" t="s">
        <v>387</v>
      </c>
      <c r="AB21" s="106">
        <v>150</v>
      </c>
      <c r="AC21" s="106" t="s">
        <v>391</v>
      </c>
      <c r="AD21" s="106" t="s">
        <v>424</v>
      </c>
      <c r="AE21" s="106" t="s">
        <v>425</v>
      </c>
      <c r="AF21" s="106" t="s">
        <v>426</v>
      </c>
      <c r="AG21" s="4"/>
      <c r="AH21" s="4"/>
      <c r="AI21" s="107">
        <f t="shared" si="0"/>
        <v>40</v>
      </c>
      <c r="AJ21" s="107" t="str">
        <f t="array" aca="1" ref="AJ21" ca="1">_xlfn.LET(_xlpm.targeteu,$AI21,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1" s="107" t="str">
        <f t="array" aca="1" ref="AK21" ca="1">_xlfn.LET(_xlpm.targeteu,$AI21,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1" s="107" t="str">
        <f t="array" aca="1" ref="AL21" ca="1">_xlfn.LET(_xlpm.targeteu,$AI21,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1" s="107">
        <f t="array" aca="1" ref="AM21" ca="1">_xlfn.LET(_xlpm.targeteu,$AI21,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5.6</v>
      </c>
      <c r="AN21" s="107" t="str">
        <f t="array" aca="1" ref="AN21" ca="1">_xlfn.LET(_xlpm.targeteu,$AI21,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1" s="107" t="str">
        <f t="array" aca="1" ref="AO21" ca="1">_xlfn.LET(_xlpm.targeteu,$AI21,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1" s="107">
        <f t="array" aca="1" ref="AP21" ca="1">_xlfn.LET(_xlpm.targeteu,$AI21,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15.6</v>
      </c>
      <c r="AQ21" s="107" t="str">
        <f t="array" aca="1" ref="AQ21" ca="1">_xlfn.LET(_xlpm.targeteu,$AI21,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1" s="107" t="str">
        <f t="array" aca="1" ref="AR21" ca="1">_xlfn.LET(_xlpm.targeteu,$AI21,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1" s="107">
        <f t="array" aca="1" ref="AS21" ca="1">_xlfn.LET(_xlpm.targeteu,$AI21,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25.6</v>
      </c>
      <c r="AT21" s="107" t="str">
        <f t="array" aca="1" ref="AT21" ca="1">_xlfn.LET(_xlpm.targeteu,$AI21,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1" s="107" t="str">
        <f t="array" aca="1" ref="AU21" ca="1">_xlfn.LET(_xlpm.targeteu,$AI21,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1" s="107">
        <f t="array" aca="1" ref="AV21" ca="1">_xlfn.LET(_xlpm.targeteu,$AI21,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35.6</v>
      </c>
      <c r="AW21" s="107" t="str">
        <f t="array" aca="1" ref="AW21" ca="1">_xlfn.LET(_xlpm.targeteu,$AI21,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1" s="107" t="str">
        <f t="array" aca="1" ref="AX21" ca="1">_xlfn.LET(_xlpm.targeteu,$AI21,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1" s="107">
        <f t="array" aca="1" ref="AY21" ca="1">_xlfn.LET(_xlpm.targeteu,$AI21,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45.6</v>
      </c>
      <c r="AZ21" s="107" t="str">
        <f t="array" aca="1" ref="AZ21" ca="1">_xlfn.LET(_xlpm.targeteu,$AI21,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1" s="107" t="str">
        <f t="array" aca="1" ref="BA21" ca="1">_xlfn.LET(_xlpm.targeteu,$AI21,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1" t="s">
        <v>574</v>
      </c>
      <c r="BC21" t="s">
        <v>572</v>
      </c>
      <c r="BD21" t="s">
        <v>572</v>
      </c>
      <c r="BE21" t="s">
        <v>574</v>
      </c>
      <c r="BF21" t="s">
        <v>573</v>
      </c>
      <c r="BG21" t="s">
        <v>572</v>
      </c>
      <c r="BH21" t="s">
        <v>574</v>
      </c>
      <c r="BI21" t="s">
        <v>573</v>
      </c>
      <c r="BJ21" t="s">
        <v>572</v>
      </c>
      <c r="BK21" t="s">
        <v>574</v>
      </c>
      <c r="BL21" t="s">
        <v>573</v>
      </c>
      <c r="BM21" t="s">
        <v>572</v>
      </c>
      <c r="BN21" t="s">
        <v>574</v>
      </c>
      <c r="BO21" t="s">
        <v>574</v>
      </c>
      <c r="BP21" t="s">
        <v>572</v>
      </c>
      <c r="BQ21" t="s">
        <v>574</v>
      </c>
      <c r="BR21" t="s">
        <v>574</v>
      </c>
      <c r="BS21" t="s">
        <v>572</v>
      </c>
    </row>
    <row r="22" spans="2:71" ht="19.5" customHeight="1" x14ac:dyDescent="0.25">
      <c r="B22" s="109">
        <v>25</v>
      </c>
      <c r="C22" s="174">
        <f t="shared" ca="1" si="1"/>
        <v>10</v>
      </c>
      <c r="D22" s="173" t="str">
        <f t="shared" ca="1" si="2"/>
        <v>—</v>
      </c>
      <c r="E22" s="173" t="str">
        <f t="shared" ca="1" si="3"/>
        <v>—</v>
      </c>
      <c r="F22" s="175">
        <f t="shared" ca="1" si="4"/>
        <v>25.7</v>
      </c>
      <c r="G22" s="173" t="str">
        <f t="shared" ca="1" si="5"/>
        <v>—</v>
      </c>
      <c r="H22" s="173" t="str">
        <f t="shared" ca="1" si="6"/>
        <v>—</v>
      </c>
      <c r="I22" s="175">
        <f t="shared" ca="1" si="7"/>
        <v>36.700000000000003</v>
      </c>
      <c r="J22" s="175">
        <f t="shared" ca="1" si="8"/>
        <v>22.9</v>
      </c>
      <c r="K22" s="173" t="str">
        <f t="shared" ca="1" si="9"/>
        <v>—</v>
      </c>
      <c r="L22" s="175">
        <f t="shared" ca="1" si="10"/>
        <v>46.7</v>
      </c>
      <c r="M22" s="175">
        <f t="shared" ca="1" si="11"/>
        <v>31.7</v>
      </c>
      <c r="N22" s="173" t="str">
        <f t="shared" ca="1" si="12"/>
        <v>—</v>
      </c>
      <c r="O22" s="175">
        <f t="shared" ca="1" si="13"/>
        <v>56.7</v>
      </c>
      <c r="P22" s="174">
        <f t="shared" ca="1" si="14"/>
        <v>40</v>
      </c>
      <c r="Q22" s="173" t="str">
        <f t="shared" ca="1" si="15"/>
        <v>—</v>
      </c>
      <c r="R22" s="175">
        <f t="shared" ca="1" si="16"/>
        <v>66.7</v>
      </c>
      <c r="S22" s="175">
        <f t="shared" ca="1" si="17"/>
        <v>48.8</v>
      </c>
      <c r="T22" s="173" t="str">
        <f t="shared" ca="1" si="18"/>
        <v>—</v>
      </c>
      <c r="AA22" s="106" t="s">
        <v>388</v>
      </c>
      <c r="AB22" s="106">
        <v>150</v>
      </c>
      <c r="AC22" s="106" t="s">
        <v>152</v>
      </c>
      <c r="AD22" s="106" t="s">
        <v>424</v>
      </c>
      <c r="AE22" s="106" t="s">
        <v>427</v>
      </c>
      <c r="AF22" s="106" t="s">
        <v>426</v>
      </c>
      <c r="AG22" s="4"/>
      <c r="AH22" s="4"/>
      <c r="AI22" s="107">
        <f t="shared" si="0"/>
        <v>45</v>
      </c>
      <c r="AJ22" s="107" t="str">
        <f t="array" aca="1" ref="AJ22" ca="1">_xlfn.LET(_xlpm.targeteu,$AI22,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2" s="107" t="str">
        <f t="array" aca="1" ref="AK22" ca="1">_xlfn.LET(_xlpm.targeteu,$AI22,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2" s="107" t="str">
        <f t="array" aca="1" ref="AL22" ca="1">_xlfn.LET(_xlpm.targeteu,$AI22,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2" s="107">
        <f t="array" aca="1" ref="AM22" ca="1">_xlfn.LET(_xlpm.targeteu,$AI22,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0</v>
      </c>
      <c r="AN22" s="107" t="str">
        <f t="array" aca="1" ref="AN22" ca="1">_xlfn.LET(_xlpm.targeteu,$AI22,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2" s="107" t="str">
        <f t="array" aca="1" ref="AO22" ca="1">_xlfn.LET(_xlpm.targeteu,$AI22,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2" s="107">
        <f t="array" aca="1" ref="AP22" ca="1">_xlfn.LET(_xlpm.targeteu,$AI22,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10</v>
      </c>
      <c r="AQ22" s="107" t="str">
        <f t="array" aca="1" ref="AQ22" ca="1">_xlfn.LET(_xlpm.targeteu,$AI22,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2" s="107" t="str">
        <f t="array" aca="1" ref="AR22" ca="1">_xlfn.LET(_xlpm.targeteu,$AI22,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2" s="107">
        <f t="array" aca="1" ref="AS22" ca="1">_xlfn.LET(_xlpm.targeteu,$AI22,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20</v>
      </c>
      <c r="AT22" s="107" t="str">
        <f t="array" aca="1" ref="AT22" ca="1">_xlfn.LET(_xlpm.targeteu,$AI22,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2" s="107" t="str">
        <f t="array" aca="1" ref="AU22" ca="1">_xlfn.LET(_xlpm.targeteu,$AI22,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2" s="107">
        <f t="array" aca="1" ref="AV22" ca="1">_xlfn.LET(_xlpm.targeteu,$AI22,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30</v>
      </c>
      <c r="AW22" s="107" t="str">
        <f t="array" aca="1" ref="AW22" ca="1">_xlfn.LET(_xlpm.targeteu,$AI22,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2" s="107" t="str">
        <f t="array" aca="1" ref="AX22" ca="1">_xlfn.LET(_xlpm.targeteu,$AI22,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2" s="107">
        <f t="array" aca="1" ref="AY22" ca="1">_xlfn.LET(_xlpm.targeteu,$AI22,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40</v>
      </c>
      <c r="AZ22" s="107" t="str">
        <f t="array" aca="1" ref="AZ22" ca="1">_xlfn.LET(_xlpm.targeteu,$AI22,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2" s="107" t="str">
        <f t="array" aca="1" ref="BA22" ca="1">_xlfn.LET(_xlpm.targeteu,$AI22,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2" t="s">
        <v>573</v>
      </c>
      <c r="BC22" t="s">
        <v>572</v>
      </c>
      <c r="BD22" t="s">
        <v>572</v>
      </c>
      <c r="BE22" t="s">
        <v>574</v>
      </c>
      <c r="BF22" t="s">
        <v>572</v>
      </c>
      <c r="BG22" t="s">
        <v>572</v>
      </c>
      <c r="BH22" t="s">
        <v>574</v>
      </c>
      <c r="BI22" t="s">
        <v>574</v>
      </c>
      <c r="BJ22" t="s">
        <v>572</v>
      </c>
      <c r="BK22" t="s">
        <v>574</v>
      </c>
      <c r="BL22" t="s">
        <v>574</v>
      </c>
      <c r="BM22" t="s">
        <v>572</v>
      </c>
      <c r="BN22" t="s">
        <v>574</v>
      </c>
      <c r="BO22" t="s">
        <v>573</v>
      </c>
      <c r="BP22" t="s">
        <v>572</v>
      </c>
      <c r="BQ22" t="s">
        <v>574</v>
      </c>
      <c r="BR22" t="s">
        <v>574</v>
      </c>
      <c r="BS22" t="s">
        <v>572</v>
      </c>
    </row>
    <row r="23" spans="2:71" ht="19.5" customHeight="1" x14ac:dyDescent="0.25">
      <c r="B23" s="109">
        <v>30</v>
      </c>
      <c r="C23" s="174">
        <f t="shared" ca="1" si="1"/>
        <v>0</v>
      </c>
      <c r="D23" s="173" t="str">
        <f t="shared" ca="1" si="2"/>
        <v>—</v>
      </c>
      <c r="E23" s="173" t="str">
        <f t="shared" ca="1" si="3"/>
        <v>—</v>
      </c>
      <c r="F23" s="175">
        <f t="shared" ca="1" si="4"/>
        <v>18.600000000000001</v>
      </c>
      <c r="G23" s="173" t="str">
        <f t="shared" ca="1" si="5"/>
        <v>—</v>
      </c>
      <c r="H23" s="173" t="str">
        <f t="shared" ca="1" si="6"/>
        <v>—</v>
      </c>
      <c r="I23" s="175">
        <f t="shared" ca="1" si="7"/>
        <v>28.6</v>
      </c>
      <c r="J23" s="173" t="str">
        <f t="shared" ca="1" si="8"/>
        <v>—</v>
      </c>
      <c r="K23" s="173" t="str">
        <f t="shared" ca="1" si="9"/>
        <v>—</v>
      </c>
      <c r="L23" s="175">
        <f t="shared" ca="1" si="10"/>
        <v>38.6</v>
      </c>
      <c r="M23" s="175">
        <f t="shared" ca="1" si="11"/>
        <v>24.3</v>
      </c>
      <c r="N23" s="173" t="str">
        <f t="shared" ca="1" si="12"/>
        <v>—</v>
      </c>
      <c r="O23" s="175">
        <f t="shared" ca="1" si="13"/>
        <v>48.6</v>
      </c>
      <c r="P23" s="175">
        <f t="shared" ca="1" si="14"/>
        <v>33.799999999999997</v>
      </c>
      <c r="Q23" s="173" t="str">
        <f t="shared" ca="1" si="15"/>
        <v>—</v>
      </c>
      <c r="R23" s="175">
        <f t="shared" ca="1" si="16"/>
        <v>58.6</v>
      </c>
      <c r="S23" s="175">
        <f t="shared" ca="1" si="17"/>
        <v>42.5</v>
      </c>
      <c r="T23" s="173" t="str">
        <f t="shared" ca="1" si="18"/>
        <v>—</v>
      </c>
      <c r="AA23" s="106" t="s">
        <v>389</v>
      </c>
      <c r="AB23" s="106">
        <v>150</v>
      </c>
      <c r="AC23" s="106" t="s">
        <v>402</v>
      </c>
      <c r="AD23" s="106" t="s">
        <v>424</v>
      </c>
      <c r="AE23" s="106" t="s">
        <v>428</v>
      </c>
      <c r="AF23" s="106" t="s">
        <v>426</v>
      </c>
      <c r="AG23" s="4"/>
      <c r="AH23" s="4"/>
      <c r="AI23" s="107">
        <f t="shared" si="0"/>
        <v>50</v>
      </c>
      <c r="AJ23" s="107" t="str">
        <f t="array" aca="1" ref="AJ23" ca="1">_xlfn.LET(_xlpm.targeteu,$AI23,_xlpm.serieskey,AJ$5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K23" s="107" t="str">
        <f t="array" aca="1" ref="AK23" ca="1">_xlfn.LET(_xlpm.targeteu,$AI23,_xlpm.serieskey,AK$5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L23" s="107" t="str">
        <f t="array" aca="1" ref="AL23" ca="1">_xlfn.LET(_xlpm.targeteu,$AI23,_xlpm.serieskey,AL$5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M23" s="107" t="str">
        <f t="array" aca="1" ref="AM23" ca="1">_xlfn.LET(_xlpm.targeteu,$AI23,_xlpm.serieskey,AM$5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N23" s="107" t="str">
        <f t="array" aca="1" ref="AN23" ca="1">_xlfn.LET(_xlpm.targeteu,$AI23,_xlpm.serieskey,AN$5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O23" s="107" t="str">
        <f t="array" aca="1" ref="AO23" ca="1">_xlfn.LET(_xlpm.targeteu,$AI23,_xlpm.serieskey,AO$5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P23" s="107" t="str">
        <f t="array" aca="1" ref="AP23" ca="1">_xlfn.LET(_xlpm.targeteu,$AI23,_xlpm.serieskey,AP$5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Q23" s="107" t="str">
        <f t="array" aca="1" ref="AQ23" ca="1">_xlfn.LET(_xlpm.targeteu,$AI23,_xlpm.serieskey,AQ$5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R23" s="107" t="str">
        <f t="array" aca="1" ref="AR23" ca="1">_xlfn.LET(_xlpm.targeteu,$AI23,_xlpm.serieskey,AR$5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S23" s="107" t="str">
        <f t="array" aca="1" ref="AS23" ca="1">_xlfn.LET(_xlpm.targeteu,$AI23,_xlpm.serieskey,AS$5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T23" s="107" t="str">
        <f t="array" aca="1" ref="AT23" ca="1">_xlfn.LET(_xlpm.targeteu,$AI23,_xlpm.serieskey,AT$5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U23" s="107" t="str">
        <f t="array" aca="1" ref="AU23" ca="1">_xlfn.LET(_xlpm.targeteu,$AI23,_xlpm.serieskey,AU$5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V23" s="107" t="str">
        <f t="array" aca="1" ref="AV23" ca="1">_xlfn.LET(_xlpm.targeteu,$AI23,_xlpm.serieskey,AV$5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W23" s="107" t="str">
        <f t="array" aca="1" ref="AW23" ca="1">_xlfn.LET(_xlpm.targeteu,$AI23,_xlpm.serieskey,AW$5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X23" s="107" t="str">
        <f t="array" aca="1" ref="AX23" ca="1">_xlfn.LET(_xlpm.targeteu,$AI23,_xlpm.serieskey,AX$5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Y23" s="107" t="str">
        <f t="array" aca="1" ref="AY23" ca="1">_xlfn.LET(_xlpm.targeteu,$AI23,_xlpm.serieskey,AY$5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AZ23" s="107" t="str">
        <f t="array" aca="1" ref="AZ23" ca="1">_xlfn.LET(_xlpm.targeteu,$AI23,_xlpm.serieskey,AZ$5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A23" s="107" t="str">
        <f t="array" aca="1" ref="BA23" ca="1">_xlfn.LET(_xlpm.targeteu,$AI23,_xlpm.serieskey,BA$5,_xlpm.euaddr,_xlfn.XLOOKUP(_xlpm.serieskey,$AA$6:$AA$23,$AE$6:$AE$23,""),_xlpm.taddr,_xlfn.XLOOKUP(_xlpm.serieskey,$AA$6:$AA$23,$AD$6:$AD$23,""),IF(OR(_xlpm.euaddr="",_xlpm.taddr=""),"",_xlfn.LET(_xlpm.eucol,INDIRECT(_xlpm.euaddr),_xlpm.tcol,INDIRECT(_xlpm.taddr),_xlpm.valid,ISNUMBER(_xlpm.eucol),_xlpm.validcount,SUM(--_xlpm.valid),IF(_xlpm.validcount=0,"",_xlfn.LET(_xlpm.e,_xlfn._xlws.FILTER(_xlpm.eucol,_xlpm.valid),_xlpm.t,_xlfn._xlws.FILTER(_xlpm.tcol,_xlpm.valid),_xlpm.mine,MIN(_xlpm.e),_xlpm.maxe,MAX(_xlpm.e),IF(OR(_xlpm.targeteu&lt;_xlpm.mine,_xlpm.targeteu&gt;_xlpm.maxe),"",_xlfn.LET(_xlpm.euhigh,MIN(_xlfn._xlws.FILTER(_xlpm.e,_xlpm.e&gt;=_xlpm.targeteu)),_xlpm.eulow,MAX(_xlfn._xlws.FILTER(_xlpm.e,_xlpm.e&lt;=_xlpm.targeteu)),_xlpm.thigh,_xlfn.XLOOKUP(_xlpm.euhigh,_xlpm.e,_xlpm.t,"",0),_xlpm.tlow,_xlfn.XLOOKUP(_xlpm.eulow,_xlpm.e,_xlpm.t,"",0),ROUND(IF(_xlpm.euhigh=_xlpm.eulow,_xlpm.thigh,_xlpm.thigh+(_xlpm.targeteu-_xlpm.euhigh)/(_xlpm.eulow-_xlpm.euhigh)*(_xlpm.tlow-_xlpm.thigh)),1))))))))</f>
        <v/>
      </c>
      <c r="BB23" t="s">
        <v>573</v>
      </c>
      <c r="BC23" t="s">
        <v>572</v>
      </c>
      <c r="BD23" t="s">
        <v>572</v>
      </c>
      <c r="BE23" t="s">
        <v>574</v>
      </c>
      <c r="BF23" t="s">
        <v>572</v>
      </c>
      <c r="BG23" t="s">
        <v>572</v>
      </c>
      <c r="BH23" t="s">
        <v>574</v>
      </c>
      <c r="BI23" t="s">
        <v>572</v>
      </c>
      <c r="BJ23" t="s">
        <v>572</v>
      </c>
      <c r="BK23" t="s">
        <v>574</v>
      </c>
      <c r="BL23" t="s">
        <v>574</v>
      </c>
      <c r="BM23" t="s">
        <v>572</v>
      </c>
      <c r="BN23" t="s">
        <v>574</v>
      </c>
      <c r="BO23" t="s">
        <v>574</v>
      </c>
      <c r="BP23" t="s">
        <v>572</v>
      </c>
      <c r="BQ23" t="s">
        <v>574</v>
      </c>
      <c r="BR23" t="s">
        <v>574</v>
      </c>
      <c r="BS23" t="s">
        <v>572</v>
      </c>
    </row>
    <row r="24" spans="2:71" ht="19.5" customHeight="1" x14ac:dyDescent="0.25">
      <c r="B24" s="109">
        <v>35</v>
      </c>
      <c r="C24" s="110" t="str">
        <f t="shared" ca="1" si="1"/>
        <v>—</v>
      </c>
      <c r="D24" s="110" t="str">
        <f t="shared" ca="1" si="2"/>
        <v>—</v>
      </c>
      <c r="E24" s="110" t="str">
        <f t="shared" ca="1" si="3"/>
        <v>—</v>
      </c>
      <c r="F24" s="178">
        <f t="shared" ca="1" si="4"/>
        <v>11.4</v>
      </c>
      <c r="G24" s="110" t="str">
        <f t="shared" ca="1" si="5"/>
        <v>—</v>
      </c>
      <c r="H24" s="110" t="str">
        <f t="shared" ca="1" si="6"/>
        <v>—</v>
      </c>
      <c r="I24" s="178">
        <f t="shared" ca="1" si="7"/>
        <v>21.4</v>
      </c>
      <c r="J24" s="110" t="str">
        <f t="shared" ca="1" si="8"/>
        <v>—</v>
      </c>
      <c r="K24" s="110" t="str">
        <f t="shared" ca="1" si="9"/>
        <v>—</v>
      </c>
      <c r="L24" s="178">
        <f t="shared" ca="1" si="10"/>
        <v>31.4</v>
      </c>
      <c r="M24" s="110" t="str">
        <f t="shared" ca="1" si="11"/>
        <v>—</v>
      </c>
      <c r="N24" s="110" t="str">
        <f t="shared" ca="1" si="12"/>
        <v>—</v>
      </c>
      <c r="O24" s="178">
        <f t="shared" ca="1" si="13"/>
        <v>41.4</v>
      </c>
      <c r="P24" s="110" t="str">
        <f t="shared" ca="1" si="14"/>
        <v>—</v>
      </c>
      <c r="Q24" s="110" t="str">
        <f t="shared" ca="1" si="15"/>
        <v>—</v>
      </c>
      <c r="R24" s="178">
        <f t="shared" ca="1" si="16"/>
        <v>51.4</v>
      </c>
      <c r="S24" s="110" t="str">
        <f t="shared" ca="1" si="17"/>
        <v>—</v>
      </c>
      <c r="T24" s="110" t="str">
        <f t="shared" ca="1" si="18"/>
        <v>—</v>
      </c>
    </row>
    <row r="25" spans="2:71" ht="19.5" customHeight="1" x14ac:dyDescent="0.25">
      <c r="B25" s="109">
        <v>40</v>
      </c>
      <c r="C25" s="110" t="str">
        <f t="shared" ca="1" si="1"/>
        <v>—</v>
      </c>
      <c r="D25" s="110" t="str">
        <f t="shared" ca="1" si="2"/>
        <v>—</v>
      </c>
      <c r="E25" s="110" t="str">
        <f t="shared" ca="1" si="3"/>
        <v>—</v>
      </c>
      <c r="F25" s="178">
        <f t="shared" ca="1" si="4"/>
        <v>5.6</v>
      </c>
      <c r="G25" s="110" t="str">
        <f t="shared" ca="1" si="5"/>
        <v>—</v>
      </c>
      <c r="H25" s="110" t="str">
        <f t="shared" ca="1" si="6"/>
        <v>—</v>
      </c>
      <c r="I25" s="178">
        <f t="shared" ca="1" si="7"/>
        <v>15.6</v>
      </c>
      <c r="J25" s="110" t="str">
        <f t="shared" ca="1" si="8"/>
        <v>—</v>
      </c>
      <c r="K25" s="110" t="str">
        <f t="shared" ca="1" si="9"/>
        <v>—</v>
      </c>
      <c r="L25" s="178">
        <f t="shared" ca="1" si="10"/>
        <v>25.6</v>
      </c>
      <c r="M25" s="110" t="str">
        <f t="shared" ca="1" si="11"/>
        <v>—</v>
      </c>
      <c r="N25" s="110" t="str">
        <f t="shared" ca="1" si="12"/>
        <v>—</v>
      </c>
      <c r="O25" s="178">
        <f t="shared" ca="1" si="13"/>
        <v>35.6</v>
      </c>
      <c r="P25" s="110" t="str">
        <f t="shared" ca="1" si="14"/>
        <v>—</v>
      </c>
      <c r="Q25" s="110" t="str">
        <f t="shared" ca="1" si="15"/>
        <v>—</v>
      </c>
      <c r="R25" s="178">
        <f t="shared" ca="1" si="16"/>
        <v>45.6</v>
      </c>
      <c r="S25" s="110" t="str">
        <f t="shared" ca="1" si="17"/>
        <v>—</v>
      </c>
      <c r="T25" s="110" t="str">
        <f t="shared" ca="1" si="18"/>
        <v>—</v>
      </c>
    </row>
    <row r="26" spans="2:71" ht="19.5" customHeight="1" x14ac:dyDescent="0.25">
      <c r="B26" s="109">
        <v>45</v>
      </c>
      <c r="C26" s="110" t="str">
        <f t="shared" ca="1" si="1"/>
        <v>—</v>
      </c>
      <c r="D26" s="110" t="str">
        <f t="shared" ca="1" si="2"/>
        <v>—</v>
      </c>
      <c r="E26" s="110" t="str">
        <f t="shared" ca="1" si="3"/>
        <v>—</v>
      </c>
      <c r="F26" s="179">
        <f t="shared" ca="1" si="4"/>
        <v>0</v>
      </c>
      <c r="G26" s="110" t="str">
        <f t="shared" ca="1" si="5"/>
        <v>—</v>
      </c>
      <c r="H26" s="110" t="str">
        <f t="shared" ca="1" si="6"/>
        <v>—</v>
      </c>
      <c r="I26" s="179">
        <f t="shared" ca="1" si="7"/>
        <v>10</v>
      </c>
      <c r="J26" s="110" t="str">
        <f t="shared" ca="1" si="8"/>
        <v>—</v>
      </c>
      <c r="K26" s="110" t="str">
        <f t="shared" ca="1" si="9"/>
        <v>—</v>
      </c>
      <c r="L26" s="179">
        <f t="shared" ca="1" si="10"/>
        <v>20</v>
      </c>
      <c r="M26" s="110" t="str">
        <f t="shared" ca="1" si="11"/>
        <v>—</v>
      </c>
      <c r="N26" s="110" t="str">
        <f t="shared" ca="1" si="12"/>
        <v>—</v>
      </c>
      <c r="O26" s="179">
        <f t="shared" ca="1" si="13"/>
        <v>30</v>
      </c>
      <c r="P26" s="110" t="str">
        <f t="shared" ca="1" si="14"/>
        <v>—</v>
      </c>
      <c r="Q26" s="110" t="str">
        <f t="shared" ca="1" si="15"/>
        <v>—</v>
      </c>
      <c r="R26" s="179">
        <f t="shared" ca="1" si="16"/>
        <v>40</v>
      </c>
      <c r="S26" s="110" t="str">
        <f t="shared" ca="1" si="17"/>
        <v>—</v>
      </c>
      <c r="T26" s="110" t="str">
        <f t="shared" ca="1" si="18"/>
        <v>—</v>
      </c>
    </row>
    <row r="27" spans="2:71" ht="19.5" customHeight="1" x14ac:dyDescent="0.25">
      <c r="B27" s="109">
        <v>50</v>
      </c>
      <c r="C27" s="110" t="str">
        <f t="shared" ca="1" si="1"/>
        <v>—</v>
      </c>
      <c r="D27" s="110" t="str">
        <f t="shared" ca="1" si="2"/>
        <v>—</v>
      </c>
      <c r="E27" s="110" t="str">
        <f t="shared" ca="1" si="3"/>
        <v>—</v>
      </c>
      <c r="F27" s="110" t="str">
        <f t="shared" ca="1" si="4"/>
        <v>—</v>
      </c>
      <c r="G27" s="110" t="str">
        <f t="shared" ca="1" si="5"/>
        <v>—</v>
      </c>
      <c r="H27" s="110" t="str">
        <f t="shared" ca="1" si="6"/>
        <v>—</v>
      </c>
      <c r="I27" s="110" t="str">
        <f t="shared" ca="1" si="7"/>
        <v>—</v>
      </c>
      <c r="J27" s="110" t="str">
        <f t="shared" ca="1" si="8"/>
        <v>—</v>
      </c>
      <c r="K27" s="110" t="str">
        <f t="shared" ca="1" si="9"/>
        <v>—</v>
      </c>
      <c r="L27" s="110" t="str">
        <f t="shared" ca="1" si="10"/>
        <v>—</v>
      </c>
      <c r="M27" s="110" t="str">
        <f t="shared" ca="1" si="11"/>
        <v>—</v>
      </c>
      <c r="N27" s="110" t="str">
        <f t="shared" ca="1" si="12"/>
        <v>—</v>
      </c>
      <c r="O27" s="110" t="str">
        <f t="shared" ca="1" si="13"/>
        <v>—</v>
      </c>
      <c r="P27" s="110" t="str">
        <f t="shared" ca="1" si="14"/>
        <v>—</v>
      </c>
      <c r="Q27" s="110" t="str">
        <f t="shared" ca="1" si="15"/>
        <v>—</v>
      </c>
      <c r="R27" s="110" t="str">
        <f t="shared" ca="1" si="16"/>
        <v>—</v>
      </c>
      <c r="S27" s="110" t="str">
        <f t="shared" ca="1" si="17"/>
        <v>—</v>
      </c>
      <c r="T27" s="110" t="str">
        <f t="shared" ca="1" si="18"/>
        <v>—</v>
      </c>
    </row>
    <row r="29" spans="2:71" ht="15" customHeight="1" x14ac:dyDescent="0.25">
      <c r="B29" s="130" t="s">
        <v>429</v>
      </c>
      <c r="C29" s="130"/>
      <c r="D29" s="130"/>
      <c r="E29" s="130"/>
      <c r="F29" s="130"/>
      <c r="G29" s="130"/>
      <c r="H29" s="130"/>
      <c r="I29" s="130"/>
      <c r="J29" s="130"/>
      <c r="K29" s="130"/>
      <c r="L29" s="130"/>
      <c r="M29" s="130"/>
      <c r="N29" s="130"/>
      <c r="O29" s="130"/>
      <c r="P29" s="130"/>
      <c r="Q29" s="130"/>
      <c r="R29" s="130"/>
      <c r="S29" s="130"/>
      <c r="T29" s="130"/>
      <c r="U29" s="130"/>
      <c r="V29" s="130"/>
      <c r="W29" s="130"/>
      <c r="X29" s="130"/>
      <c r="Y29" s="130"/>
    </row>
    <row r="32" spans="2:71" ht="21.75" customHeight="1" x14ac:dyDescent="0.25">
      <c r="B32" s="161" t="s">
        <v>430</v>
      </c>
      <c r="C32" s="161"/>
      <c r="D32" s="161"/>
      <c r="E32" s="161"/>
      <c r="F32" s="161"/>
      <c r="G32" s="161"/>
      <c r="H32" s="161"/>
      <c r="I32" s="161"/>
      <c r="J32" s="161"/>
      <c r="K32" s="161"/>
      <c r="L32" s="161"/>
      <c r="M32" s="161"/>
      <c r="N32" s="161"/>
      <c r="O32" s="161"/>
      <c r="P32" s="161"/>
      <c r="Q32" s="161"/>
      <c r="R32" s="161"/>
      <c r="S32" s="161"/>
      <c r="T32" s="161"/>
    </row>
    <row r="33" spans="2:25" ht="30" customHeight="1" x14ac:dyDescent="0.25">
      <c r="B33" s="130" t="s">
        <v>431</v>
      </c>
      <c r="C33" s="130"/>
      <c r="D33" s="130"/>
      <c r="E33" s="130"/>
      <c r="F33" s="130"/>
      <c r="G33" s="130"/>
      <c r="H33" s="130"/>
      <c r="I33" s="130"/>
      <c r="J33" s="130"/>
      <c r="K33" s="130"/>
      <c r="L33" s="130"/>
      <c r="M33" s="130"/>
      <c r="N33" s="130"/>
      <c r="O33" s="130"/>
      <c r="P33" s="130"/>
      <c r="Q33" s="130"/>
      <c r="R33" s="130"/>
      <c r="S33" s="130"/>
      <c r="T33" s="130"/>
      <c r="U33" s="104"/>
      <c r="V33" s="104"/>
      <c r="W33" s="104"/>
      <c r="X33" s="104"/>
      <c r="Y33" s="104"/>
    </row>
    <row r="35" spans="2:25" ht="15.75" customHeight="1" x14ac:dyDescent="0.25">
      <c r="B35" s="164" t="s">
        <v>432</v>
      </c>
      <c r="C35" s="164"/>
      <c r="D35" s="164"/>
      <c r="E35" s="164"/>
      <c r="I35" s="164" t="s">
        <v>433</v>
      </c>
      <c r="J35" s="164"/>
      <c r="K35" s="164"/>
      <c r="L35" s="164"/>
    </row>
    <row r="36" spans="2:25" ht="15" customHeight="1" x14ac:dyDescent="0.25">
      <c r="B36" s="111" t="s">
        <v>434</v>
      </c>
      <c r="C36" s="111" t="s">
        <v>435</v>
      </c>
      <c r="D36" s="111" t="s">
        <v>436</v>
      </c>
      <c r="E36" s="111" t="s">
        <v>437</v>
      </c>
      <c r="I36" s="111" t="s">
        <v>434</v>
      </c>
      <c r="J36" s="111" t="s">
        <v>435</v>
      </c>
      <c r="K36" s="111" t="s">
        <v>436</v>
      </c>
      <c r="L36" s="111" t="s">
        <v>437</v>
      </c>
    </row>
    <row r="37" spans="2:25" ht="15" customHeight="1" x14ac:dyDescent="0.25">
      <c r="B37" s="112">
        <v>0</v>
      </c>
      <c r="C37" s="112">
        <v>30</v>
      </c>
      <c r="D37" s="112"/>
      <c r="E37" s="112"/>
      <c r="I37" s="112">
        <v>0</v>
      </c>
      <c r="J37" s="112">
        <v>45</v>
      </c>
      <c r="K37" s="112"/>
      <c r="L37" s="112"/>
    </row>
    <row r="38" spans="2:25" ht="15" customHeight="1" x14ac:dyDescent="0.25">
      <c r="B38" s="112">
        <v>10</v>
      </c>
      <c r="C38" s="112">
        <v>25</v>
      </c>
      <c r="D38" s="112"/>
      <c r="E38" s="112"/>
      <c r="I38" s="112">
        <v>10</v>
      </c>
      <c r="J38" s="112">
        <v>36</v>
      </c>
      <c r="K38" s="112"/>
      <c r="L38" s="112"/>
    </row>
    <row r="39" spans="2:25" ht="15" customHeight="1" x14ac:dyDescent="0.25">
      <c r="B39" s="112">
        <v>20</v>
      </c>
      <c r="C39" s="112">
        <v>21</v>
      </c>
      <c r="D39" s="112">
        <v>15</v>
      </c>
      <c r="E39" s="112"/>
      <c r="I39" s="112">
        <v>20</v>
      </c>
      <c r="J39" s="112">
        <v>29</v>
      </c>
      <c r="K39" s="112">
        <v>20</v>
      </c>
      <c r="L39" s="112"/>
    </row>
    <row r="40" spans="2:25" ht="15" customHeight="1" x14ac:dyDescent="0.25">
      <c r="B40" s="112">
        <v>30</v>
      </c>
      <c r="C40" s="112">
        <v>18</v>
      </c>
      <c r="D40" s="112">
        <v>11.5</v>
      </c>
      <c r="E40" s="112"/>
      <c r="I40" s="112">
        <v>30</v>
      </c>
      <c r="J40" s="112">
        <v>22</v>
      </c>
      <c r="K40" s="112">
        <v>15.5</v>
      </c>
      <c r="L40" s="112"/>
    </row>
    <row r="41" spans="2:25" ht="15" customHeight="1" x14ac:dyDescent="0.25">
      <c r="B41" s="112">
        <v>40</v>
      </c>
      <c r="C41" s="112">
        <v>14.5</v>
      </c>
      <c r="D41" s="112">
        <v>9</v>
      </c>
      <c r="E41" s="112"/>
      <c r="I41" s="112">
        <v>40</v>
      </c>
      <c r="J41" s="112">
        <v>18</v>
      </c>
      <c r="K41" s="112">
        <v>12</v>
      </c>
      <c r="L41" s="112"/>
    </row>
    <row r="42" spans="2:25" ht="15" customHeight="1" x14ac:dyDescent="0.25">
      <c r="B42" s="112">
        <v>50</v>
      </c>
      <c r="C42" s="112">
        <v>12</v>
      </c>
      <c r="D42" s="112">
        <v>6.5</v>
      </c>
      <c r="E42" s="112"/>
      <c r="I42" s="112">
        <v>50</v>
      </c>
      <c r="J42" s="112">
        <v>15</v>
      </c>
      <c r="K42" s="112">
        <v>9</v>
      </c>
      <c r="L42" s="112">
        <v>6.5</v>
      </c>
    </row>
    <row r="43" spans="2:25" ht="15" customHeight="1" x14ac:dyDescent="0.25">
      <c r="B43" s="112">
        <v>60</v>
      </c>
      <c r="C43" s="112">
        <v>10</v>
      </c>
      <c r="D43" s="112">
        <v>5</v>
      </c>
      <c r="E43" s="112"/>
      <c r="I43" s="112">
        <v>60</v>
      </c>
      <c r="J43" s="112">
        <v>12</v>
      </c>
      <c r="K43" s="112">
        <v>6</v>
      </c>
      <c r="L43" s="112">
        <v>4.5</v>
      </c>
    </row>
    <row r="44" spans="2:25" ht="15" customHeight="1" x14ac:dyDescent="0.25">
      <c r="B44" s="112">
        <v>70</v>
      </c>
      <c r="C44" s="112">
        <v>8</v>
      </c>
      <c r="D44" s="112">
        <v>3</v>
      </c>
      <c r="E44" s="112"/>
      <c r="I44" s="112">
        <v>70</v>
      </c>
      <c r="J44" s="112">
        <v>10</v>
      </c>
      <c r="K44" s="112">
        <v>4.5</v>
      </c>
      <c r="L44" s="112">
        <v>3</v>
      </c>
    </row>
    <row r="45" spans="2:25" ht="15" customHeight="1" x14ac:dyDescent="0.25">
      <c r="B45" s="112">
        <v>80</v>
      </c>
      <c r="C45" s="112">
        <v>6</v>
      </c>
      <c r="D45" s="112">
        <v>2</v>
      </c>
      <c r="E45" s="112"/>
      <c r="I45" s="112">
        <v>80</v>
      </c>
      <c r="J45" s="112">
        <v>8</v>
      </c>
      <c r="K45" s="112">
        <v>3.5</v>
      </c>
      <c r="L45" s="112">
        <v>2</v>
      </c>
    </row>
    <row r="46" spans="2:25" ht="15" customHeight="1" x14ac:dyDescent="0.25">
      <c r="B46" s="112">
        <v>90</v>
      </c>
      <c r="C46" s="112">
        <v>5</v>
      </c>
      <c r="D46" s="112">
        <v>0</v>
      </c>
      <c r="E46" s="112"/>
      <c r="I46" s="112">
        <v>90</v>
      </c>
      <c r="J46" s="112">
        <v>6</v>
      </c>
      <c r="K46" s="112">
        <v>2</v>
      </c>
      <c r="L46" s="112">
        <v>1</v>
      </c>
    </row>
    <row r="47" spans="2:25" ht="15" customHeight="1" x14ac:dyDescent="0.25">
      <c r="B47" s="112">
        <v>100</v>
      </c>
      <c r="C47" s="112">
        <v>3.5</v>
      </c>
      <c r="D47" s="112"/>
      <c r="E47" s="112"/>
      <c r="I47" s="112">
        <v>100</v>
      </c>
      <c r="J47" s="112">
        <v>5</v>
      </c>
      <c r="K47" s="112">
        <v>1</v>
      </c>
      <c r="L47" s="112"/>
    </row>
    <row r="48" spans="2:25" ht="15" customHeight="1" x14ac:dyDescent="0.25">
      <c r="B48" s="112">
        <v>110</v>
      </c>
      <c r="C48" s="112">
        <v>3</v>
      </c>
      <c r="D48" s="112"/>
      <c r="E48" s="112"/>
      <c r="I48" s="112">
        <v>110</v>
      </c>
      <c r="J48" s="112">
        <v>3.5</v>
      </c>
      <c r="K48" s="112"/>
      <c r="L48" s="112"/>
    </row>
    <row r="49" spans="2:12" ht="15" customHeight="1" x14ac:dyDescent="0.25">
      <c r="I49" s="112">
        <v>120</v>
      </c>
      <c r="J49" s="112">
        <v>3</v>
      </c>
      <c r="K49" s="112"/>
      <c r="L49" s="112"/>
    </row>
    <row r="50" spans="2:12" ht="15" customHeight="1" x14ac:dyDescent="0.25">
      <c r="I50" s="112">
        <v>130</v>
      </c>
      <c r="J50" s="112">
        <v>2.5</v>
      </c>
      <c r="K50" s="112"/>
      <c r="L50" s="112"/>
    </row>
    <row r="53" spans="2:12" ht="15.75" customHeight="1" x14ac:dyDescent="0.25">
      <c r="B53" s="164" t="s">
        <v>438</v>
      </c>
      <c r="C53" s="164"/>
      <c r="D53" s="164"/>
      <c r="E53" s="164"/>
      <c r="I53" s="164" t="s">
        <v>439</v>
      </c>
      <c r="J53" s="164"/>
      <c r="K53" s="164"/>
      <c r="L53" s="164"/>
    </row>
    <row r="54" spans="2:12" ht="15" customHeight="1" x14ac:dyDescent="0.25">
      <c r="B54" s="111" t="s">
        <v>434</v>
      </c>
      <c r="C54" s="111" t="s">
        <v>435</v>
      </c>
      <c r="D54" s="111" t="s">
        <v>436</v>
      </c>
      <c r="E54" s="111" t="s">
        <v>437</v>
      </c>
      <c r="I54" s="111" t="s">
        <v>434</v>
      </c>
      <c r="J54" s="111" t="s">
        <v>435</v>
      </c>
      <c r="K54" s="111" t="s">
        <v>436</v>
      </c>
      <c r="L54" s="111" t="s">
        <v>437</v>
      </c>
    </row>
    <row r="55" spans="2:12" ht="15" customHeight="1" x14ac:dyDescent="0.25">
      <c r="B55" s="112">
        <v>10</v>
      </c>
      <c r="C55" s="112">
        <v>45</v>
      </c>
      <c r="D55" s="112"/>
      <c r="E55" s="112"/>
      <c r="I55" s="112">
        <v>20</v>
      </c>
      <c r="J55" s="112">
        <v>45</v>
      </c>
      <c r="K55" s="112">
        <v>33</v>
      </c>
      <c r="L55" s="112"/>
    </row>
    <row r="56" spans="2:12" ht="15" customHeight="1" x14ac:dyDescent="0.25">
      <c r="B56" s="112">
        <v>20</v>
      </c>
      <c r="C56" s="112">
        <v>36</v>
      </c>
      <c r="D56" s="112">
        <v>27</v>
      </c>
      <c r="E56" s="112"/>
      <c r="I56" s="112">
        <v>30</v>
      </c>
      <c r="J56" s="112">
        <v>36</v>
      </c>
      <c r="K56" s="112">
        <v>26</v>
      </c>
      <c r="L56" s="112"/>
    </row>
    <row r="57" spans="2:12" ht="15" customHeight="1" x14ac:dyDescent="0.25">
      <c r="B57" s="112">
        <v>30</v>
      </c>
      <c r="C57" s="112">
        <v>29</v>
      </c>
      <c r="D57" s="112">
        <v>20</v>
      </c>
      <c r="E57" s="112"/>
      <c r="I57" s="112">
        <v>40</v>
      </c>
      <c r="J57" s="112">
        <v>29</v>
      </c>
      <c r="K57" s="112">
        <v>20</v>
      </c>
      <c r="L57" s="112"/>
    </row>
    <row r="58" spans="2:12" ht="15" customHeight="1" x14ac:dyDescent="0.25">
      <c r="B58" s="112">
        <v>40</v>
      </c>
      <c r="C58" s="112">
        <v>23</v>
      </c>
      <c r="D58" s="112">
        <v>16</v>
      </c>
      <c r="E58" s="112"/>
      <c r="I58" s="112">
        <v>50</v>
      </c>
      <c r="J58" s="112">
        <v>23</v>
      </c>
      <c r="K58" s="112">
        <v>14</v>
      </c>
      <c r="L58" s="112"/>
    </row>
    <row r="59" spans="2:12" ht="15" customHeight="1" x14ac:dyDescent="0.25">
      <c r="B59" s="112">
        <v>50</v>
      </c>
      <c r="C59" s="112">
        <v>18.5</v>
      </c>
      <c r="D59" s="112">
        <v>12</v>
      </c>
      <c r="E59" s="112">
        <v>9</v>
      </c>
      <c r="I59" s="112">
        <v>60</v>
      </c>
      <c r="J59" s="112">
        <v>18.5</v>
      </c>
      <c r="K59" s="112">
        <v>10.5</v>
      </c>
      <c r="L59" s="112">
        <v>8</v>
      </c>
    </row>
    <row r="60" spans="2:12" ht="15" customHeight="1" x14ac:dyDescent="0.25">
      <c r="B60" s="112">
        <v>60</v>
      </c>
      <c r="C60" s="112">
        <v>15</v>
      </c>
      <c r="D60" s="112">
        <v>9</v>
      </c>
      <c r="E60" s="112">
        <v>6.5</v>
      </c>
      <c r="I60" s="112">
        <v>70</v>
      </c>
      <c r="J60" s="112">
        <v>15</v>
      </c>
      <c r="K60" s="112">
        <v>8</v>
      </c>
      <c r="L60" s="112">
        <v>6</v>
      </c>
    </row>
    <row r="61" spans="2:12" ht="15" customHeight="1" x14ac:dyDescent="0.25">
      <c r="B61" s="112">
        <v>70</v>
      </c>
      <c r="C61" s="112">
        <v>12</v>
      </c>
      <c r="D61" s="112">
        <v>6.5</v>
      </c>
      <c r="E61" s="112">
        <v>4.5</v>
      </c>
      <c r="I61" s="112">
        <v>80</v>
      </c>
      <c r="J61" s="112">
        <v>12</v>
      </c>
      <c r="K61" s="112">
        <v>5.5</v>
      </c>
      <c r="L61" s="112">
        <v>4</v>
      </c>
    </row>
    <row r="62" spans="2:12" ht="15" customHeight="1" x14ac:dyDescent="0.25">
      <c r="B62" s="112">
        <v>80</v>
      </c>
      <c r="C62" s="112">
        <v>10</v>
      </c>
      <c r="D62" s="112">
        <v>4.5</v>
      </c>
      <c r="E62" s="112">
        <v>3</v>
      </c>
      <c r="I62" s="112">
        <v>90</v>
      </c>
      <c r="J62" s="112">
        <v>10</v>
      </c>
      <c r="K62" s="112">
        <v>4.5</v>
      </c>
      <c r="L62" s="112">
        <v>3</v>
      </c>
    </row>
    <row r="63" spans="2:12" ht="15" customHeight="1" x14ac:dyDescent="0.25">
      <c r="B63" s="112">
        <v>90</v>
      </c>
      <c r="C63" s="112">
        <v>7.5</v>
      </c>
      <c r="D63" s="112">
        <v>3</v>
      </c>
      <c r="E63" s="112">
        <v>1.5</v>
      </c>
      <c r="I63" s="112">
        <v>100</v>
      </c>
      <c r="J63" s="112">
        <v>8</v>
      </c>
      <c r="K63" s="112">
        <v>3</v>
      </c>
      <c r="L63" s="112">
        <v>2</v>
      </c>
    </row>
    <row r="64" spans="2:12" ht="15" customHeight="1" x14ac:dyDescent="0.25">
      <c r="B64" s="112">
        <v>100</v>
      </c>
      <c r="C64" s="112">
        <v>6</v>
      </c>
      <c r="D64" s="112">
        <v>1.5</v>
      </c>
      <c r="E64" s="112">
        <v>0.5</v>
      </c>
      <c r="I64" s="112">
        <v>110</v>
      </c>
      <c r="J64" s="112">
        <v>5.5</v>
      </c>
      <c r="K64" s="112">
        <v>2</v>
      </c>
      <c r="L64" s="112">
        <v>1</v>
      </c>
    </row>
    <row r="65" spans="2:12" ht="15" customHeight="1" x14ac:dyDescent="0.25">
      <c r="B65" s="112">
        <v>110</v>
      </c>
      <c r="C65" s="112">
        <v>5</v>
      </c>
      <c r="D65" s="112">
        <v>1</v>
      </c>
      <c r="E65" s="112"/>
      <c r="I65" s="112">
        <v>120</v>
      </c>
      <c r="J65" s="112">
        <v>4.5</v>
      </c>
      <c r="K65" s="112">
        <v>1</v>
      </c>
      <c r="L65" s="112"/>
    </row>
    <row r="66" spans="2:12" ht="15" customHeight="1" x14ac:dyDescent="0.25">
      <c r="B66" s="112">
        <v>120</v>
      </c>
      <c r="C66" s="112">
        <v>3.5</v>
      </c>
      <c r="D66" s="112"/>
      <c r="E66" s="112"/>
      <c r="I66" s="112">
        <v>130</v>
      </c>
      <c r="J66" s="112">
        <v>3.5</v>
      </c>
      <c r="K66" s="112"/>
      <c r="L66" s="112"/>
    </row>
    <row r="67" spans="2:12" ht="15" customHeight="1" x14ac:dyDescent="0.25">
      <c r="B67" s="112">
        <v>130</v>
      </c>
      <c r="C67" s="112">
        <v>3</v>
      </c>
      <c r="D67" s="112"/>
      <c r="E67" s="112"/>
      <c r="I67" s="112">
        <v>140</v>
      </c>
      <c r="J67" s="112">
        <v>3</v>
      </c>
      <c r="K67" s="112"/>
      <c r="L67" s="112"/>
    </row>
    <row r="68" spans="2:12" ht="15" customHeight="1" x14ac:dyDescent="0.25">
      <c r="B68" s="112">
        <v>140</v>
      </c>
      <c r="C68" s="112">
        <v>2.5</v>
      </c>
      <c r="D68" s="112"/>
      <c r="E68" s="112"/>
      <c r="I68" s="112">
        <v>150</v>
      </c>
      <c r="J68" s="112">
        <v>2.5</v>
      </c>
      <c r="K68" s="112"/>
      <c r="L68" s="112"/>
    </row>
    <row r="71" spans="2:12" ht="15.75" customHeight="1" x14ac:dyDescent="0.25">
      <c r="B71" s="164" t="s">
        <v>440</v>
      </c>
      <c r="C71" s="164"/>
      <c r="D71" s="164"/>
      <c r="E71" s="164"/>
      <c r="I71" s="164" t="s">
        <v>441</v>
      </c>
      <c r="J71" s="164"/>
      <c r="K71" s="164"/>
      <c r="L71" s="164"/>
    </row>
    <row r="72" spans="2:12" ht="15" customHeight="1" x14ac:dyDescent="0.25">
      <c r="B72" s="111" t="s">
        <v>434</v>
      </c>
      <c r="C72" s="111" t="s">
        <v>435</v>
      </c>
      <c r="D72" s="111" t="s">
        <v>436</v>
      </c>
      <c r="E72" s="111" t="s">
        <v>437</v>
      </c>
      <c r="I72" s="111" t="s">
        <v>434</v>
      </c>
      <c r="J72" s="111" t="s">
        <v>435</v>
      </c>
      <c r="K72" s="111" t="s">
        <v>436</v>
      </c>
      <c r="L72" s="111" t="s">
        <v>437</v>
      </c>
    </row>
    <row r="73" spans="2:12" ht="15" customHeight="1" x14ac:dyDescent="0.25">
      <c r="B73" s="112">
        <v>30</v>
      </c>
      <c r="C73" s="112">
        <v>45</v>
      </c>
      <c r="D73" s="112">
        <v>33</v>
      </c>
      <c r="E73" s="112"/>
      <c r="I73" s="112">
        <v>40</v>
      </c>
      <c r="J73" s="112">
        <v>45</v>
      </c>
      <c r="K73" s="112">
        <v>32</v>
      </c>
      <c r="L73" s="112"/>
    </row>
    <row r="74" spans="2:12" ht="15" customHeight="1" x14ac:dyDescent="0.25">
      <c r="B74" s="112">
        <v>40</v>
      </c>
      <c r="C74" s="112">
        <v>36</v>
      </c>
      <c r="D74" s="112">
        <v>25</v>
      </c>
      <c r="E74" s="112"/>
      <c r="I74" s="112">
        <v>50</v>
      </c>
      <c r="J74" s="112">
        <v>36</v>
      </c>
      <c r="K74" s="112">
        <v>24</v>
      </c>
      <c r="L74" s="112">
        <v>18</v>
      </c>
    </row>
    <row r="75" spans="2:12" ht="15" customHeight="1" x14ac:dyDescent="0.25">
      <c r="B75" s="112">
        <v>50</v>
      </c>
      <c r="C75" s="112">
        <v>29</v>
      </c>
      <c r="D75" s="112">
        <v>19</v>
      </c>
      <c r="E75" s="112">
        <v>14</v>
      </c>
      <c r="I75" s="112">
        <v>60</v>
      </c>
      <c r="J75" s="112">
        <v>29</v>
      </c>
      <c r="K75" s="112">
        <v>17</v>
      </c>
      <c r="L75" s="112">
        <v>12</v>
      </c>
    </row>
    <row r="76" spans="2:12" ht="15" customHeight="1" x14ac:dyDescent="0.25">
      <c r="B76" s="112">
        <v>60</v>
      </c>
      <c r="C76" s="112">
        <v>23</v>
      </c>
      <c r="D76" s="112">
        <v>13.5</v>
      </c>
      <c r="E76" s="112">
        <v>10</v>
      </c>
      <c r="I76" s="112">
        <v>70</v>
      </c>
      <c r="J76" s="112">
        <v>23</v>
      </c>
      <c r="K76" s="112">
        <v>12</v>
      </c>
      <c r="L76" s="112">
        <v>9</v>
      </c>
    </row>
    <row r="77" spans="2:12" ht="15" customHeight="1" x14ac:dyDescent="0.25">
      <c r="B77" s="112">
        <v>70</v>
      </c>
      <c r="C77" s="112">
        <v>18.5</v>
      </c>
      <c r="D77" s="112">
        <v>10</v>
      </c>
      <c r="E77" s="112">
        <v>8</v>
      </c>
      <c r="I77" s="112">
        <v>80</v>
      </c>
      <c r="J77" s="112">
        <v>18.5</v>
      </c>
      <c r="K77" s="112">
        <v>8.5</v>
      </c>
      <c r="L77" s="112">
        <v>6.5</v>
      </c>
    </row>
    <row r="78" spans="2:12" ht="15" customHeight="1" x14ac:dyDescent="0.25">
      <c r="B78" s="112">
        <v>80</v>
      </c>
      <c r="C78" s="112">
        <v>15</v>
      </c>
      <c r="D78" s="112">
        <v>8</v>
      </c>
      <c r="E78" s="112">
        <v>5.5</v>
      </c>
      <c r="I78" s="112">
        <v>90</v>
      </c>
      <c r="J78" s="112">
        <v>15</v>
      </c>
      <c r="K78" s="112">
        <v>6</v>
      </c>
      <c r="L78" s="112">
        <v>4.5</v>
      </c>
    </row>
    <row r="79" spans="2:12" ht="15" customHeight="1" x14ac:dyDescent="0.25">
      <c r="B79" s="112">
        <v>90</v>
      </c>
      <c r="C79" s="112">
        <v>12</v>
      </c>
      <c r="D79" s="112">
        <v>6</v>
      </c>
      <c r="E79" s="112">
        <v>4</v>
      </c>
      <c r="I79" s="112">
        <v>100</v>
      </c>
      <c r="J79" s="112">
        <v>12</v>
      </c>
      <c r="K79" s="112">
        <v>5</v>
      </c>
      <c r="L79" s="112">
        <v>3</v>
      </c>
    </row>
    <row r="80" spans="2:12" ht="15" customHeight="1" x14ac:dyDescent="0.25">
      <c r="B80" s="112">
        <v>100</v>
      </c>
      <c r="C80" s="112">
        <v>10</v>
      </c>
      <c r="D80" s="112">
        <v>4.5</v>
      </c>
      <c r="E80" s="112">
        <v>3</v>
      </c>
      <c r="I80" s="112">
        <v>110</v>
      </c>
      <c r="J80" s="112">
        <v>10</v>
      </c>
      <c r="K80" s="112">
        <v>3.5</v>
      </c>
      <c r="L80" s="112">
        <v>2</v>
      </c>
    </row>
    <row r="81" spans="2:20" ht="15" customHeight="1" x14ac:dyDescent="0.25">
      <c r="B81" s="112">
        <v>110</v>
      </c>
      <c r="C81" s="112">
        <v>8</v>
      </c>
      <c r="D81" s="112">
        <v>3</v>
      </c>
      <c r="E81" s="112">
        <v>1.5</v>
      </c>
      <c r="I81" s="112">
        <v>120</v>
      </c>
      <c r="J81" s="112">
        <v>8</v>
      </c>
      <c r="K81" s="112">
        <v>2.5</v>
      </c>
      <c r="L81" s="112">
        <v>1</v>
      </c>
    </row>
    <row r="82" spans="2:20" ht="15" customHeight="1" x14ac:dyDescent="0.25">
      <c r="B82" s="112">
        <v>120</v>
      </c>
      <c r="C82" s="112">
        <v>6</v>
      </c>
      <c r="D82" s="112">
        <v>2</v>
      </c>
      <c r="E82" s="112">
        <v>1</v>
      </c>
      <c r="I82" s="112">
        <v>130</v>
      </c>
      <c r="J82" s="112">
        <v>6</v>
      </c>
      <c r="K82" s="112">
        <v>1.5</v>
      </c>
      <c r="L82" s="112"/>
    </row>
    <row r="83" spans="2:20" ht="15" customHeight="1" x14ac:dyDescent="0.25">
      <c r="B83" s="112">
        <v>130</v>
      </c>
      <c r="C83" s="112">
        <v>5</v>
      </c>
      <c r="D83" s="112">
        <v>1</v>
      </c>
      <c r="E83" s="112"/>
      <c r="I83" s="112">
        <v>140</v>
      </c>
      <c r="J83" s="112">
        <v>5</v>
      </c>
      <c r="K83" s="112">
        <v>1</v>
      </c>
      <c r="L83" s="112"/>
    </row>
    <row r="84" spans="2:20" ht="15" customHeight="1" x14ac:dyDescent="0.25">
      <c r="B84" s="112">
        <v>140</v>
      </c>
      <c r="C84" s="112">
        <v>3.5</v>
      </c>
      <c r="D84" s="112"/>
      <c r="E84" s="112"/>
      <c r="I84" s="112">
        <v>150</v>
      </c>
      <c r="J84" s="112">
        <v>3.5</v>
      </c>
      <c r="K84" s="112"/>
      <c r="L84" s="112"/>
    </row>
    <row r="85" spans="2:20" ht="15" customHeight="1" x14ac:dyDescent="0.25">
      <c r="B85" s="112">
        <v>150</v>
      </c>
      <c r="C85" s="112">
        <v>3</v>
      </c>
      <c r="D85" s="112"/>
      <c r="E85" s="112"/>
      <c r="I85" s="112">
        <v>160</v>
      </c>
      <c r="J85" s="112">
        <v>3</v>
      </c>
      <c r="K85" s="112"/>
      <c r="L85" s="112"/>
    </row>
    <row r="86" spans="2:20" ht="15" customHeight="1" x14ac:dyDescent="0.25">
      <c r="B86" s="112">
        <v>160</v>
      </c>
      <c r="C86" s="112">
        <v>2.5</v>
      </c>
      <c r="D86" s="112"/>
      <c r="E86" s="112"/>
      <c r="I86" s="112">
        <v>170</v>
      </c>
      <c r="J86" s="112">
        <v>2.5</v>
      </c>
      <c r="K86" s="112"/>
      <c r="L86" s="112"/>
    </row>
    <row r="91" spans="2:20" ht="21.75" customHeight="1" x14ac:dyDescent="0.25">
      <c r="B91" s="161" t="s">
        <v>442</v>
      </c>
      <c r="C91" s="161"/>
      <c r="D91" s="161"/>
      <c r="E91" s="161"/>
      <c r="F91" s="161"/>
      <c r="G91" s="161"/>
      <c r="H91" s="161"/>
      <c r="I91" s="161"/>
      <c r="J91" s="161"/>
      <c r="K91" s="161"/>
      <c r="L91" s="161"/>
      <c r="M91" s="161"/>
      <c r="N91" s="161"/>
      <c r="O91" s="161"/>
      <c r="P91" s="161"/>
      <c r="Q91" s="161"/>
      <c r="R91" s="161"/>
      <c r="S91" s="161"/>
      <c r="T91" s="161"/>
    </row>
    <row r="92" spans="2:20" ht="30" customHeight="1" x14ac:dyDescent="0.25">
      <c r="B92" s="130" t="s">
        <v>443</v>
      </c>
      <c r="C92" s="130"/>
      <c r="D92" s="130"/>
      <c r="E92" s="130"/>
      <c r="F92" s="130"/>
      <c r="G92" s="130"/>
      <c r="H92" s="130"/>
      <c r="I92" s="130"/>
      <c r="J92" s="130"/>
      <c r="K92" s="130"/>
      <c r="L92" s="130"/>
      <c r="M92" s="130"/>
      <c r="N92" s="130"/>
      <c r="O92" s="130"/>
      <c r="P92" s="130"/>
      <c r="Q92" s="130"/>
      <c r="R92" s="130"/>
      <c r="S92" s="130"/>
      <c r="T92" s="130"/>
    </row>
    <row r="93" spans="2:20" ht="15" customHeight="1" x14ac:dyDescent="0.25">
      <c r="B93" s="130"/>
      <c r="C93" s="130"/>
      <c r="D93" s="130"/>
      <c r="E93" s="130"/>
      <c r="F93" s="130"/>
      <c r="G93" s="130"/>
      <c r="H93" s="130"/>
      <c r="I93" s="130"/>
      <c r="J93" s="130"/>
      <c r="K93" s="130"/>
      <c r="L93" s="130"/>
      <c r="M93" s="130"/>
      <c r="N93" s="130"/>
      <c r="O93" s="130"/>
      <c r="P93" s="130"/>
      <c r="Q93" s="130"/>
      <c r="R93" s="130"/>
      <c r="S93" s="130"/>
      <c r="T93" s="130"/>
    </row>
    <row r="94" spans="2:20" ht="15" customHeight="1" x14ac:dyDescent="0.25">
      <c r="B94" s="33" t="s">
        <v>371</v>
      </c>
      <c r="C94" s="163" t="s">
        <v>444</v>
      </c>
      <c r="D94" s="163"/>
      <c r="E94" s="163" t="s">
        <v>445</v>
      </c>
      <c r="F94" s="163"/>
      <c r="G94" s="163" t="s">
        <v>446</v>
      </c>
      <c r="H94" s="163"/>
      <c r="I94" s="163" t="s">
        <v>447</v>
      </c>
      <c r="J94" s="163"/>
      <c r="K94" s="163" t="s">
        <v>448</v>
      </c>
      <c r="L94" s="163"/>
    </row>
    <row r="95" spans="2:20" ht="15" customHeight="1" x14ac:dyDescent="0.25">
      <c r="B95" s="109">
        <v>5</v>
      </c>
      <c r="C95" s="12">
        <v>275</v>
      </c>
      <c r="D95" s="12">
        <v>275</v>
      </c>
      <c r="E95" s="12">
        <v>385</v>
      </c>
      <c r="F95" s="12">
        <v>495</v>
      </c>
      <c r="G95" s="12">
        <v>645</v>
      </c>
      <c r="H95" s="12">
        <v>815</v>
      </c>
      <c r="I95" s="12">
        <v>710</v>
      </c>
      <c r="J95" s="12">
        <v>880</v>
      </c>
      <c r="K95" s="12">
        <v>825</v>
      </c>
      <c r="L95" s="12">
        <v>975</v>
      </c>
    </row>
    <row r="96" spans="2:20" ht="15" customHeight="1" x14ac:dyDescent="0.25">
      <c r="B96" s="109">
        <v>10</v>
      </c>
      <c r="C96" s="12">
        <v>275</v>
      </c>
      <c r="D96" s="12">
        <v>275</v>
      </c>
      <c r="E96" s="12">
        <v>285</v>
      </c>
      <c r="F96" s="12">
        <v>375</v>
      </c>
      <c r="G96" s="12">
        <v>410</v>
      </c>
      <c r="H96" s="12">
        <v>545</v>
      </c>
      <c r="I96" s="12">
        <v>495</v>
      </c>
      <c r="J96" s="12">
        <v>645</v>
      </c>
      <c r="K96" s="12">
        <v>630</v>
      </c>
      <c r="L96" s="12">
        <v>760</v>
      </c>
    </row>
    <row r="97" spans="2:20" ht="15" customHeight="1" x14ac:dyDescent="0.25">
      <c r="B97" s="109">
        <v>15</v>
      </c>
      <c r="C97" s="12">
        <v>275</v>
      </c>
      <c r="D97" s="12">
        <v>275</v>
      </c>
      <c r="E97" s="12">
        <v>215</v>
      </c>
      <c r="F97" s="12">
        <v>270</v>
      </c>
      <c r="G97" s="12">
        <v>305</v>
      </c>
      <c r="H97" s="12">
        <v>385</v>
      </c>
      <c r="I97" s="12">
        <v>375</v>
      </c>
      <c r="J97" s="12">
        <v>475</v>
      </c>
      <c r="K97" s="12">
        <v>475</v>
      </c>
      <c r="L97" s="12">
        <v>575</v>
      </c>
    </row>
    <row r="98" spans="2:20" ht="15" customHeight="1" x14ac:dyDescent="0.25">
      <c r="B98" s="109">
        <v>20</v>
      </c>
      <c r="C98" s="12">
        <v>100</v>
      </c>
      <c r="D98" s="12">
        <v>100</v>
      </c>
      <c r="E98" s="12">
        <v>170</v>
      </c>
      <c r="F98" s="12">
        <v>215</v>
      </c>
      <c r="G98" s="12">
        <v>255</v>
      </c>
      <c r="H98" s="12">
        <v>315</v>
      </c>
      <c r="I98" s="12">
        <v>300</v>
      </c>
      <c r="J98" s="12">
        <v>385</v>
      </c>
      <c r="K98" s="12">
        <v>385</v>
      </c>
      <c r="L98" s="12">
        <v>460</v>
      </c>
    </row>
    <row r="99" spans="2:20" ht="15" customHeight="1" x14ac:dyDescent="0.25">
      <c r="B99" s="109">
        <v>30</v>
      </c>
      <c r="C99" s="12">
        <v>100</v>
      </c>
      <c r="D99" s="12">
        <v>100</v>
      </c>
      <c r="E99" s="12">
        <v>215</v>
      </c>
      <c r="F99" s="12">
        <v>260</v>
      </c>
      <c r="G99" s="12">
        <v>170</v>
      </c>
      <c r="H99" s="12">
        <v>215</v>
      </c>
      <c r="I99" s="12">
        <v>215</v>
      </c>
      <c r="J99" s="12">
        <v>275</v>
      </c>
      <c r="K99" s="12">
        <v>280</v>
      </c>
      <c r="L99" s="12">
        <v>340</v>
      </c>
    </row>
    <row r="100" spans="2:20" ht="15" customHeight="1" x14ac:dyDescent="0.25">
      <c r="B100" s="109">
        <v>40</v>
      </c>
      <c r="C100" s="12">
        <v>100</v>
      </c>
      <c r="D100" s="12">
        <v>100</v>
      </c>
      <c r="E100" s="12">
        <v>100</v>
      </c>
      <c r="F100" s="12">
        <v>100</v>
      </c>
      <c r="G100" s="12">
        <v>130</v>
      </c>
      <c r="H100" s="12">
        <v>165</v>
      </c>
      <c r="I100" s="12">
        <v>165</v>
      </c>
      <c r="J100" s="12">
        <v>205</v>
      </c>
      <c r="K100" s="12">
        <v>220</v>
      </c>
      <c r="L100" s="12">
        <v>265</v>
      </c>
    </row>
    <row r="103" spans="2:20" ht="21.75" customHeight="1" x14ac:dyDescent="0.25">
      <c r="B103" s="161" t="s">
        <v>449</v>
      </c>
      <c r="C103" s="161"/>
      <c r="D103" s="161"/>
      <c r="E103" s="161"/>
      <c r="F103" s="161"/>
      <c r="G103" s="161"/>
      <c r="H103" s="161"/>
      <c r="I103" s="161"/>
      <c r="J103" s="161"/>
      <c r="K103" s="161"/>
      <c r="L103" s="161"/>
      <c r="M103" s="161"/>
      <c r="N103" s="161"/>
      <c r="O103" s="161"/>
      <c r="P103" s="161"/>
      <c r="Q103" s="161"/>
      <c r="R103" s="161"/>
      <c r="S103" s="161"/>
      <c r="T103" s="161"/>
    </row>
    <row r="104" spans="2:20" ht="15" customHeight="1" x14ac:dyDescent="0.25">
      <c r="B104" s="130" t="s">
        <v>450</v>
      </c>
      <c r="C104" s="130"/>
      <c r="D104" s="130"/>
      <c r="E104" s="130"/>
      <c r="F104" s="130"/>
      <c r="G104" s="130"/>
      <c r="H104" s="130"/>
      <c r="I104" s="130"/>
      <c r="J104" s="130"/>
      <c r="K104" s="130"/>
      <c r="L104" s="130"/>
      <c r="M104" s="130"/>
      <c r="N104" s="130"/>
      <c r="O104" s="130"/>
      <c r="P104" s="130"/>
      <c r="Q104" s="130"/>
      <c r="R104" s="130"/>
      <c r="S104" s="130"/>
      <c r="T104" s="130"/>
    </row>
    <row r="105" spans="2:20" ht="15" customHeight="1" x14ac:dyDescent="0.25">
      <c r="B105" s="130"/>
      <c r="C105" s="130"/>
      <c r="D105" s="130"/>
      <c r="E105" s="130"/>
      <c r="F105" s="130"/>
      <c r="G105" s="130"/>
      <c r="H105" s="130"/>
      <c r="I105" s="130"/>
      <c r="J105" s="130"/>
      <c r="K105" s="130"/>
      <c r="L105" s="130"/>
      <c r="M105" s="130"/>
      <c r="N105" s="130"/>
      <c r="O105" s="130"/>
      <c r="P105" s="130"/>
      <c r="Q105" s="130"/>
      <c r="R105" s="130"/>
      <c r="S105" s="130"/>
      <c r="T105" s="130"/>
    </row>
    <row r="106" spans="2:20" ht="27.75" customHeight="1" x14ac:dyDescent="0.25">
      <c r="B106" s="33" t="s">
        <v>451</v>
      </c>
      <c r="C106" s="33" t="s">
        <v>452</v>
      </c>
      <c r="D106" s="33" t="s">
        <v>371</v>
      </c>
    </row>
    <row r="107" spans="2:20" ht="15" customHeight="1" x14ac:dyDescent="0.25">
      <c r="B107" s="12">
        <v>0</v>
      </c>
      <c r="C107" s="12">
        <v>30</v>
      </c>
      <c r="D107" s="12">
        <v>5</v>
      </c>
    </row>
    <row r="108" spans="2:20" ht="15" customHeight="1" x14ac:dyDescent="0.25">
      <c r="B108" s="12">
        <v>30</v>
      </c>
      <c r="C108" s="12">
        <v>60</v>
      </c>
      <c r="D108" s="12">
        <v>10</v>
      </c>
    </row>
    <row r="109" spans="2:20" ht="15" customHeight="1" x14ac:dyDescent="0.25">
      <c r="B109" s="12">
        <v>60</v>
      </c>
      <c r="C109" s="12">
        <v>90</v>
      </c>
      <c r="D109" s="12">
        <v>15</v>
      </c>
    </row>
    <row r="110" spans="2:20" ht="15" customHeight="1" x14ac:dyDescent="0.25">
      <c r="B110" s="12">
        <v>90</v>
      </c>
      <c r="C110" s="12">
        <v>120</v>
      </c>
      <c r="D110" s="12">
        <v>20</v>
      </c>
    </row>
    <row r="111" spans="2:20" ht="15" customHeight="1" x14ac:dyDescent="0.25">
      <c r="B111" s="12">
        <v>120</v>
      </c>
      <c r="C111" s="12">
        <v>150</v>
      </c>
      <c r="D111" s="12">
        <v>25</v>
      </c>
    </row>
    <row r="112" spans="2:20" ht="15" customHeight="1" x14ac:dyDescent="0.25">
      <c r="B112" s="12">
        <v>150</v>
      </c>
      <c r="C112" s="12">
        <v>180</v>
      </c>
      <c r="D112" s="12">
        <v>30</v>
      </c>
    </row>
    <row r="115" spans="2:20" ht="21.75" customHeight="1" x14ac:dyDescent="0.25">
      <c r="B115" s="161" t="s">
        <v>453</v>
      </c>
      <c r="C115" s="161"/>
      <c r="D115" s="161"/>
      <c r="E115" s="161"/>
      <c r="F115" s="161"/>
      <c r="G115" s="161"/>
      <c r="H115" s="161"/>
      <c r="I115" s="161"/>
      <c r="J115" s="161"/>
      <c r="K115" s="161"/>
      <c r="L115" s="161"/>
      <c r="M115" s="161"/>
      <c r="N115" s="161"/>
      <c r="O115" s="161"/>
      <c r="P115" s="161"/>
      <c r="Q115" s="161"/>
      <c r="R115" s="161"/>
      <c r="S115" s="161"/>
      <c r="T115" s="161"/>
    </row>
    <row r="117" spans="2:20" ht="15" customHeight="1" x14ac:dyDescent="0.25">
      <c r="B117" s="33" t="s">
        <v>454</v>
      </c>
      <c r="C117" s="33" t="s">
        <v>367</v>
      </c>
      <c r="D117" s="162" t="s">
        <v>455</v>
      </c>
      <c r="E117" s="162"/>
      <c r="F117" s="162" t="s">
        <v>456</v>
      </c>
      <c r="G117" s="162"/>
      <c r="H117" s="162"/>
      <c r="I117" s="162"/>
      <c r="J117" s="162"/>
    </row>
    <row r="118" spans="2:20" ht="30" customHeight="1" x14ac:dyDescent="0.25">
      <c r="B118" s="13">
        <v>1</v>
      </c>
      <c r="C118" s="12">
        <v>30</v>
      </c>
      <c r="D118" s="137" t="s">
        <v>457</v>
      </c>
      <c r="E118" s="137"/>
      <c r="F118" s="137" t="s">
        <v>458</v>
      </c>
      <c r="G118" s="137"/>
      <c r="H118" s="137"/>
      <c r="I118" s="137"/>
      <c r="J118" s="137"/>
    </row>
    <row r="119" spans="2:20" ht="30" customHeight="1" x14ac:dyDescent="0.25">
      <c r="B119" s="13">
        <v>2</v>
      </c>
      <c r="C119" s="12">
        <v>45</v>
      </c>
      <c r="D119" s="137" t="s">
        <v>459</v>
      </c>
      <c r="E119" s="137"/>
      <c r="F119" s="137" t="s">
        <v>460</v>
      </c>
      <c r="G119" s="137"/>
      <c r="H119" s="137"/>
      <c r="I119" s="137"/>
      <c r="J119" s="137"/>
    </row>
    <row r="120" spans="2:20" ht="30" customHeight="1" x14ac:dyDescent="0.25">
      <c r="B120" s="13">
        <v>3</v>
      </c>
      <c r="C120" s="12">
        <v>60</v>
      </c>
      <c r="D120" s="137" t="s">
        <v>461</v>
      </c>
      <c r="E120" s="137"/>
      <c r="F120" s="137" t="s">
        <v>462</v>
      </c>
      <c r="G120" s="137"/>
      <c r="H120" s="137"/>
      <c r="I120" s="137"/>
      <c r="J120" s="137"/>
    </row>
    <row r="121" spans="2:20" ht="30" customHeight="1" x14ac:dyDescent="0.25">
      <c r="B121" s="13">
        <v>4</v>
      </c>
      <c r="C121" s="12">
        <v>80</v>
      </c>
      <c r="D121" s="137" t="s">
        <v>463</v>
      </c>
      <c r="E121" s="137"/>
      <c r="F121" s="137" t="s">
        <v>464</v>
      </c>
      <c r="G121" s="137"/>
      <c r="H121" s="137"/>
      <c r="I121" s="137"/>
      <c r="J121" s="137"/>
    </row>
    <row r="122" spans="2:20" ht="30" customHeight="1" x14ac:dyDescent="0.25">
      <c r="B122" s="13">
        <v>5</v>
      </c>
      <c r="C122" s="12">
        <v>120</v>
      </c>
      <c r="D122" s="137" t="s">
        <v>465</v>
      </c>
      <c r="E122" s="137"/>
      <c r="F122" s="137" t="s">
        <v>466</v>
      </c>
      <c r="G122" s="137"/>
      <c r="H122" s="137"/>
      <c r="I122" s="137"/>
      <c r="J122" s="137"/>
    </row>
    <row r="123" spans="2:20" ht="30" customHeight="1" x14ac:dyDescent="0.25">
      <c r="B123" s="13">
        <v>6</v>
      </c>
      <c r="C123" s="12">
        <v>150</v>
      </c>
      <c r="D123" s="137" t="s">
        <v>467</v>
      </c>
      <c r="E123" s="137"/>
      <c r="F123" s="137" t="s">
        <v>468</v>
      </c>
      <c r="G123" s="137"/>
      <c r="H123" s="137"/>
      <c r="I123" s="137"/>
      <c r="J123" s="137"/>
    </row>
  </sheetData>
  <mergeCells count="47">
    <mergeCell ref="B1:T1"/>
    <mergeCell ref="AA1:BA1"/>
    <mergeCell ref="B2:T4"/>
    <mergeCell ref="AA2:BA3"/>
    <mergeCell ref="B5:T5"/>
    <mergeCell ref="V5:Y5"/>
    <mergeCell ref="B6:T7"/>
    <mergeCell ref="B8:B9"/>
    <mergeCell ref="C8:E8"/>
    <mergeCell ref="F8:H8"/>
    <mergeCell ref="I8:K8"/>
    <mergeCell ref="L8:N8"/>
    <mergeCell ref="O8:Q8"/>
    <mergeCell ref="R8:T8"/>
    <mergeCell ref="B29:Y29"/>
    <mergeCell ref="B32:T32"/>
    <mergeCell ref="B33:T33"/>
    <mergeCell ref="B35:E35"/>
    <mergeCell ref="I35:L35"/>
    <mergeCell ref="B53:E53"/>
    <mergeCell ref="I53:L53"/>
    <mergeCell ref="B71:E71"/>
    <mergeCell ref="I71:L71"/>
    <mergeCell ref="B91:T91"/>
    <mergeCell ref="B92:T93"/>
    <mergeCell ref="C94:D94"/>
    <mergeCell ref="E94:F94"/>
    <mergeCell ref="G94:H94"/>
    <mergeCell ref="I94:J94"/>
    <mergeCell ref="K94:L94"/>
    <mergeCell ref="B103:T103"/>
    <mergeCell ref="B104:T105"/>
    <mergeCell ref="B115:T115"/>
    <mergeCell ref="D117:E117"/>
    <mergeCell ref="F117:J117"/>
    <mergeCell ref="D118:E118"/>
    <mergeCell ref="F118:J118"/>
    <mergeCell ref="D119:E119"/>
    <mergeCell ref="F119:J119"/>
    <mergeCell ref="D120:E120"/>
    <mergeCell ref="F120:J120"/>
    <mergeCell ref="D121:E121"/>
    <mergeCell ref="F121:J121"/>
    <mergeCell ref="D122:E122"/>
    <mergeCell ref="F122:J122"/>
    <mergeCell ref="D123:E123"/>
    <mergeCell ref="F123:J12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73"/>
  <sheetViews>
    <sheetView topLeftCell="A24" zoomScaleNormal="100" workbookViewId="0">
      <selection activeCell="K73" sqref="K73"/>
    </sheetView>
  </sheetViews>
  <sheetFormatPr defaultColWidth="8.7109375" defaultRowHeight="15" x14ac:dyDescent="0.25"/>
  <cols>
    <col min="1" max="1" width="2" customWidth="1"/>
    <col min="2" max="2" width="35" customWidth="1"/>
    <col min="3" max="5" width="16" customWidth="1"/>
    <col min="6" max="6" width="35" customWidth="1"/>
    <col min="7" max="7" width="2" customWidth="1"/>
  </cols>
  <sheetData>
    <row r="1" spans="2:6" ht="27.75" customHeight="1" x14ac:dyDescent="0.25">
      <c r="B1" s="172" t="s">
        <v>469</v>
      </c>
      <c r="C1" s="172"/>
      <c r="D1" s="172"/>
      <c r="E1" s="172"/>
      <c r="F1" s="172"/>
    </row>
    <row r="3" spans="2:6" ht="45" customHeight="1" x14ac:dyDescent="0.25">
      <c r="B3" s="168" t="s">
        <v>470</v>
      </c>
      <c r="C3" s="168"/>
      <c r="D3" s="168"/>
      <c r="E3" s="168"/>
      <c r="F3" s="168"/>
    </row>
    <row r="5" spans="2:6" ht="25.5" customHeight="1" x14ac:dyDescent="0.25">
      <c r="B5" s="171" t="s">
        <v>471</v>
      </c>
      <c r="C5" s="171"/>
      <c r="D5" s="171"/>
      <c r="E5" s="171"/>
      <c r="F5" s="171"/>
    </row>
    <row r="6" spans="2:6" ht="49.5" customHeight="1" x14ac:dyDescent="0.25">
      <c r="B6" s="169" t="s">
        <v>472</v>
      </c>
      <c r="C6" s="169"/>
      <c r="D6" s="169"/>
      <c r="E6" s="169"/>
      <c r="F6" s="169"/>
    </row>
    <row r="8" spans="2:6" ht="15.75" customHeight="1" x14ac:dyDescent="0.25">
      <c r="B8" s="170" t="s">
        <v>473</v>
      </c>
      <c r="C8" s="170"/>
      <c r="D8" s="170"/>
      <c r="E8" s="170"/>
      <c r="F8" s="170"/>
    </row>
    <row r="9" spans="2:6" ht="15" customHeight="1" x14ac:dyDescent="0.25">
      <c r="B9" s="113" t="s">
        <v>371</v>
      </c>
      <c r="C9" s="114">
        <v>10</v>
      </c>
    </row>
    <row r="10" spans="2:6" ht="15" customHeight="1" x14ac:dyDescent="0.25">
      <c r="B10" s="113" t="s">
        <v>367</v>
      </c>
      <c r="C10" s="114">
        <v>30</v>
      </c>
    </row>
    <row r="11" spans="2:6" ht="15" customHeight="1" x14ac:dyDescent="0.25">
      <c r="B11" s="113" t="s">
        <v>119</v>
      </c>
      <c r="C11" s="114">
        <v>38</v>
      </c>
    </row>
    <row r="12" spans="2:6" ht="15" customHeight="1" x14ac:dyDescent="0.25">
      <c r="B12" s="113" t="s">
        <v>474</v>
      </c>
      <c r="C12" s="114" t="s">
        <v>152</v>
      </c>
    </row>
    <row r="13" spans="2:6" ht="30" customHeight="1" x14ac:dyDescent="0.25">
      <c r="B13" s="113" t="s">
        <v>475</v>
      </c>
      <c r="C13" s="114" t="s">
        <v>293</v>
      </c>
    </row>
    <row r="15" spans="2:6" ht="15.75" customHeight="1" x14ac:dyDescent="0.25">
      <c r="B15" s="170" t="s">
        <v>476</v>
      </c>
      <c r="C15" s="170"/>
      <c r="D15" s="170"/>
      <c r="E15" s="170"/>
      <c r="F15" s="170"/>
    </row>
    <row r="16" spans="2:6" ht="15" customHeight="1" x14ac:dyDescent="0.25">
      <c r="B16" s="113" t="s">
        <v>391</v>
      </c>
      <c r="C16" s="115" t="s">
        <v>477</v>
      </c>
    </row>
    <row r="17" spans="2:6" ht="15" customHeight="1" x14ac:dyDescent="0.25">
      <c r="B17" s="113" t="s">
        <v>478</v>
      </c>
      <c r="C17" s="115" t="s">
        <v>479</v>
      </c>
    </row>
    <row r="18" spans="2:6" ht="15" customHeight="1" x14ac:dyDescent="0.25">
      <c r="B18" s="113" t="s">
        <v>480</v>
      </c>
      <c r="C18" s="115" t="s">
        <v>481</v>
      </c>
    </row>
    <row r="20" spans="2:6" ht="15.75" customHeight="1" x14ac:dyDescent="0.25">
      <c r="B20" s="170" t="s">
        <v>482</v>
      </c>
      <c r="C20" s="170"/>
      <c r="D20" s="170"/>
      <c r="E20" s="170"/>
      <c r="F20" s="170"/>
    </row>
    <row r="21" spans="2:6" ht="15" customHeight="1" x14ac:dyDescent="0.25">
      <c r="B21" s="113" t="s">
        <v>391</v>
      </c>
      <c r="C21" s="116" t="s">
        <v>483</v>
      </c>
    </row>
    <row r="22" spans="2:6" ht="15" customHeight="1" x14ac:dyDescent="0.25">
      <c r="B22" s="113" t="s">
        <v>484</v>
      </c>
      <c r="C22" s="116" t="s">
        <v>485</v>
      </c>
    </row>
    <row r="24" spans="2:6" ht="54.75" customHeight="1" x14ac:dyDescent="0.25">
      <c r="B24" s="168" t="s">
        <v>486</v>
      </c>
      <c r="C24" s="168"/>
      <c r="D24" s="168"/>
      <c r="E24" s="168"/>
      <c r="F24" s="168"/>
    </row>
    <row r="27" spans="2:6" ht="25.5" customHeight="1" x14ac:dyDescent="0.25">
      <c r="B27" s="171" t="s">
        <v>487</v>
      </c>
      <c r="C27" s="171"/>
      <c r="D27" s="171"/>
      <c r="E27" s="171"/>
      <c r="F27" s="171"/>
    </row>
    <row r="28" spans="2:6" ht="49.5" customHeight="1" x14ac:dyDescent="0.25">
      <c r="B28" s="169" t="s">
        <v>488</v>
      </c>
      <c r="C28" s="169"/>
      <c r="D28" s="169"/>
      <c r="E28" s="169"/>
      <c r="F28" s="169"/>
    </row>
    <row r="30" spans="2:6" ht="15.75" customHeight="1" x14ac:dyDescent="0.25">
      <c r="B30" s="170" t="s">
        <v>473</v>
      </c>
      <c r="C30" s="170"/>
      <c r="D30" s="170"/>
      <c r="E30" s="170"/>
      <c r="F30" s="170"/>
    </row>
    <row r="31" spans="2:6" ht="15" customHeight="1" x14ac:dyDescent="0.25">
      <c r="B31" s="113" t="s">
        <v>371</v>
      </c>
      <c r="C31" s="114">
        <v>5</v>
      </c>
    </row>
    <row r="32" spans="2:6" ht="15" customHeight="1" x14ac:dyDescent="0.25">
      <c r="B32" s="113" t="s">
        <v>367</v>
      </c>
      <c r="C32" s="114">
        <v>80</v>
      </c>
    </row>
    <row r="33" spans="2:6" ht="15" customHeight="1" x14ac:dyDescent="0.25">
      <c r="B33" s="113" t="s">
        <v>119</v>
      </c>
      <c r="C33" s="114">
        <v>38.67</v>
      </c>
    </row>
    <row r="34" spans="2:6" ht="15" customHeight="1" x14ac:dyDescent="0.25">
      <c r="B34" s="113" t="s">
        <v>474</v>
      </c>
      <c r="C34" s="114" t="s">
        <v>152</v>
      </c>
    </row>
    <row r="35" spans="2:6" ht="30" customHeight="1" x14ac:dyDescent="0.25">
      <c r="B35" s="113" t="s">
        <v>475</v>
      </c>
      <c r="C35" s="114" t="s">
        <v>293</v>
      </c>
    </row>
    <row r="37" spans="2:6" ht="15.75" customHeight="1" x14ac:dyDescent="0.25">
      <c r="B37" s="170" t="s">
        <v>476</v>
      </c>
      <c r="C37" s="170"/>
      <c r="D37" s="170"/>
      <c r="E37" s="170"/>
      <c r="F37" s="170"/>
    </row>
    <row r="38" spans="2:6" ht="15" customHeight="1" x14ac:dyDescent="0.25">
      <c r="B38" s="113" t="s">
        <v>391</v>
      </c>
      <c r="C38" s="115" t="s">
        <v>489</v>
      </c>
    </row>
    <row r="39" spans="2:6" ht="15" customHeight="1" x14ac:dyDescent="0.25">
      <c r="B39" s="113" t="s">
        <v>478</v>
      </c>
      <c r="C39" s="115" t="s">
        <v>490</v>
      </c>
    </row>
    <row r="40" spans="2:6" ht="15" customHeight="1" x14ac:dyDescent="0.25">
      <c r="B40" s="113" t="s">
        <v>491</v>
      </c>
      <c r="C40" s="115" t="s">
        <v>492</v>
      </c>
    </row>
    <row r="42" spans="2:6" ht="15.75" customHeight="1" x14ac:dyDescent="0.25">
      <c r="B42" s="170" t="s">
        <v>482</v>
      </c>
      <c r="C42" s="170"/>
      <c r="D42" s="170"/>
      <c r="E42" s="170"/>
      <c r="F42" s="170"/>
    </row>
    <row r="43" spans="2:6" ht="15" customHeight="1" x14ac:dyDescent="0.25">
      <c r="B43" s="113" t="s">
        <v>391</v>
      </c>
      <c r="C43" s="116" t="s">
        <v>493</v>
      </c>
    </row>
    <row r="44" spans="2:6" ht="15" customHeight="1" x14ac:dyDescent="0.25">
      <c r="B44" s="113" t="s">
        <v>484</v>
      </c>
      <c r="C44" s="116" t="s">
        <v>494</v>
      </c>
    </row>
    <row r="46" spans="2:6" ht="54.75" customHeight="1" x14ac:dyDescent="0.25">
      <c r="B46" s="168" t="s">
        <v>495</v>
      </c>
      <c r="C46" s="168"/>
      <c r="D46" s="168"/>
      <c r="E46" s="168"/>
      <c r="F46" s="168"/>
    </row>
    <row r="49" spans="2:13" ht="25.5" customHeight="1" x14ac:dyDescent="0.25">
      <c r="B49" s="171" t="s">
        <v>496</v>
      </c>
      <c r="C49" s="171"/>
      <c r="D49" s="171"/>
      <c r="E49" s="171"/>
      <c r="F49" s="171"/>
    </row>
    <row r="50" spans="2:13" ht="49.5" customHeight="1" x14ac:dyDescent="0.25">
      <c r="B50" s="169" t="s">
        <v>497</v>
      </c>
      <c r="C50" s="169"/>
      <c r="D50" s="169"/>
      <c r="E50" s="169"/>
      <c r="F50" s="169"/>
    </row>
    <row r="52" spans="2:13" ht="15.75" customHeight="1" x14ac:dyDescent="0.25">
      <c r="B52" s="170" t="s">
        <v>473</v>
      </c>
      <c r="C52" s="170"/>
      <c r="D52" s="170"/>
      <c r="E52" s="170"/>
      <c r="F52" s="170"/>
    </row>
    <row r="53" spans="2:13" ht="15" customHeight="1" x14ac:dyDescent="0.25">
      <c r="B53" s="113" t="s">
        <v>371</v>
      </c>
      <c r="C53" s="114">
        <v>10</v>
      </c>
      <c r="I53" s="124"/>
      <c r="J53" s="124"/>
      <c r="K53" s="124"/>
      <c r="L53" s="124"/>
      <c r="M53" s="124"/>
    </row>
    <row r="54" spans="2:13" ht="15" customHeight="1" x14ac:dyDescent="0.25">
      <c r="B54" s="113" t="s">
        <v>367</v>
      </c>
      <c r="C54" s="114">
        <v>120</v>
      </c>
      <c r="I54" s="117"/>
      <c r="M54" s="118"/>
    </row>
    <row r="55" spans="2:13" ht="15" customHeight="1" x14ac:dyDescent="0.25">
      <c r="B55" s="113" t="s">
        <v>119</v>
      </c>
      <c r="C55" s="114">
        <v>38.67</v>
      </c>
      <c r="I55" s="117"/>
      <c r="K55" t="s">
        <v>510</v>
      </c>
      <c r="M55" s="118"/>
    </row>
    <row r="56" spans="2:13" ht="15" customHeight="1" x14ac:dyDescent="0.25">
      <c r="B56" s="113" t="s">
        <v>474</v>
      </c>
      <c r="C56" s="114" t="s">
        <v>498</v>
      </c>
      <c r="I56" s="117" t="s">
        <v>511</v>
      </c>
      <c r="J56" s="119"/>
      <c r="K56" t="s">
        <v>515</v>
      </c>
      <c r="M56" s="118"/>
    </row>
    <row r="57" spans="2:13" ht="30" customHeight="1" x14ac:dyDescent="0.25">
      <c r="B57" s="113" t="s">
        <v>475</v>
      </c>
      <c r="C57" s="114" t="s">
        <v>293</v>
      </c>
      <c r="I57" s="117"/>
      <c r="J57" s="120"/>
      <c r="K57" t="s">
        <v>516</v>
      </c>
      <c r="M57" s="118"/>
    </row>
    <row r="58" spans="2:13" x14ac:dyDescent="0.25">
      <c r="I58" s="117"/>
      <c r="J58" s="121"/>
      <c r="K58" t="s">
        <v>305</v>
      </c>
      <c r="M58" s="118"/>
    </row>
    <row r="59" spans="2:13" ht="15.75" customHeight="1" x14ac:dyDescent="0.25">
      <c r="B59" s="170" t="s">
        <v>476</v>
      </c>
      <c r="C59" s="170"/>
      <c r="D59" s="170"/>
      <c r="E59" s="170"/>
      <c r="F59" s="170"/>
      <c r="I59" s="117" t="s">
        <v>512</v>
      </c>
      <c r="J59" s="120"/>
      <c r="K59" t="s">
        <v>516</v>
      </c>
      <c r="M59" s="118"/>
    </row>
    <row r="60" spans="2:13" ht="15" customHeight="1" x14ac:dyDescent="0.25">
      <c r="B60" s="113" t="s">
        <v>391</v>
      </c>
      <c r="C60" s="115" t="s">
        <v>499</v>
      </c>
      <c r="I60" s="117"/>
      <c r="J60" s="122"/>
      <c r="K60" t="s">
        <v>193</v>
      </c>
      <c r="M60" s="118"/>
    </row>
    <row r="61" spans="2:13" ht="15" customHeight="1" x14ac:dyDescent="0.25">
      <c r="B61" s="113" t="s">
        <v>480</v>
      </c>
      <c r="C61" s="115" t="s">
        <v>500</v>
      </c>
      <c r="I61" s="117"/>
      <c r="J61" s="122"/>
      <c r="K61" t="s">
        <v>513</v>
      </c>
      <c r="M61" s="118"/>
    </row>
    <row r="62" spans="2:13" ht="15" customHeight="1" x14ac:dyDescent="0.25">
      <c r="B62" s="113" t="s">
        <v>478</v>
      </c>
      <c r="C62" s="115" t="s">
        <v>501</v>
      </c>
      <c r="I62" s="123" t="s">
        <v>514</v>
      </c>
      <c r="J62" s="124"/>
      <c r="K62" s="124"/>
      <c r="L62" s="124"/>
      <c r="M62" s="125"/>
    </row>
    <row r="63" spans="2:13" ht="15" customHeight="1" x14ac:dyDescent="0.25">
      <c r="B63" s="113" t="s">
        <v>502</v>
      </c>
      <c r="C63" s="115" t="s">
        <v>503</v>
      </c>
    </row>
    <row r="64" spans="2:13" ht="15" customHeight="1" x14ac:dyDescent="0.25">
      <c r="B64" s="113" t="s">
        <v>504</v>
      </c>
      <c r="C64" s="115" t="s">
        <v>505</v>
      </c>
    </row>
    <row r="66" spans="2:11" ht="15.75" customHeight="1" x14ac:dyDescent="0.25">
      <c r="B66" s="170" t="s">
        <v>482</v>
      </c>
      <c r="C66" s="170"/>
      <c r="D66" s="170"/>
      <c r="E66" s="170"/>
      <c r="F66" s="170"/>
    </row>
    <row r="67" spans="2:11" ht="15" customHeight="1" x14ac:dyDescent="0.25">
      <c r="B67" s="113" t="s">
        <v>391</v>
      </c>
      <c r="C67" s="116" t="s">
        <v>506</v>
      </c>
    </row>
    <row r="68" spans="2:11" ht="15" customHeight="1" x14ac:dyDescent="0.25">
      <c r="B68" s="113" t="s">
        <v>484</v>
      </c>
      <c r="C68" s="116" t="s">
        <v>483</v>
      </c>
    </row>
    <row r="70" spans="2:11" ht="54.75" customHeight="1" x14ac:dyDescent="0.25">
      <c r="B70" s="168" t="s">
        <v>507</v>
      </c>
      <c r="C70" s="168"/>
      <c r="D70" s="168"/>
      <c r="E70" s="168"/>
      <c r="F70" s="168"/>
    </row>
    <row r="73" spans="2:11" ht="49.5" customHeight="1" x14ac:dyDescent="0.25">
      <c r="B73" s="168" t="s">
        <v>508</v>
      </c>
      <c r="C73" s="168"/>
      <c r="D73" s="168"/>
      <c r="E73" s="168"/>
      <c r="F73" s="168"/>
      <c r="K73" t="s">
        <v>561</v>
      </c>
    </row>
  </sheetData>
  <mergeCells count="21">
    <mergeCell ref="B1:F1"/>
    <mergeCell ref="B3:F3"/>
    <mergeCell ref="B5:F5"/>
    <mergeCell ref="B6:F6"/>
    <mergeCell ref="B8:F8"/>
    <mergeCell ref="B15:F15"/>
    <mergeCell ref="B20:F20"/>
    <mergeCell ref="B24:F24"/>
    <mergeCell ref="B27:F27"/>
    <mergeCell ref="B28:F28"/>
    <mergeCell ref="B30:F30"/>
    <mergeCell ref="B37:F37"/>
    <mergeCell ref="B42:F42"/>
    <mergeCell ref="B46:F46"/>
    <mergeCell ref="B49:F49"/>
    <mergeCell ref="B73:F73"/>
    <mergeCell ref="B50:F50"/>
    <mergeCell ref="B52:F52"/>
    <mergeCell ref="B59:F59"/>
    <mergeCell ref="B66:F66"/>
    <mergeCell ref="B70:F7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85ABF-84F8-4B5D-BEF8-5D0698378A79}">
  <dimension ref="A1"/>
  <sheetViews>
    <sheetView topLeftCell="B73" zoomScaleNormal="100" workbookViewId="0">
      <selection activeCell="A43" sqref="A43"/>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CC43999E69B146B21FD7037336070D" ma:contentTypeVersion="19" ma:contentTypeDescription="Create a new document." ma:contentTypeScope="" ma:versionID="da949df7407854784e825555ef0470b6">
  <xsd:schema xmlns:xsd="http://www.w3.org/2001/XMLSchema" xmlns:xs="http://www.w3.org/2001/XMLSchema" xmlns:p="http://schemas.microsoft.com/office/2006/metadata/properties" xmlns:ns2="3c9f7625-f508-4699-980b-15a788d55c32" xmlns:ns3="41c9fafd-c058-44f8-b2ce-53cd3afba157" targetNamespace="http://schemas.microsoft.com/office/2006/metadata/properties" ma:root="true" ma:fieldsID="15818a7baaa05f324ff0ec0f28430cf1" ns2:_="" ns3:_="">
    <xsd:import namespace="3c9f7625-f508-4699-980b-15a788d55c32"/>
    <xsd:import namespace="41c9fafd-c058-44f8-b2ce-53cd3afba1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f7625-f508-4699-980b-15a788d55c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4ce74f-0e62-42f3-b316-7de4230b7f91"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c9fafd-c058-44f8-b2ce-53cd3afba15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b31613a-4f63-4ba1-8f44-053840bd52a9}" ma:internalName="TaxCatchAll" ma:showField="CatchAllData" ma:web="41c9fafd-c058-44f8-b2ce-53cd3afba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9f7625-f508-4699-980b-15a788d55c32">
      <Terms xmlns="http://schemas.microsoft.com/office/infopath/2007/PartnerControls"/>
    </lcf76f155ced4ddcb4097134ff3c332f>
    <TaxCatchAll xmlns="41c9fafd-c058-44f8-b2ce-53cd3afba15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E0CC4F-D9F7-4393-B9E6-E46F295174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9f7625-f508-4699-980b-15a788d55c32"/>
    <ds:schemaRef ds:uri="41c9fafd-c058-44f8-b2ce-53cd3afba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6F771E-371D-441B-970D-370C0B5064FB}">
  <ds:schemaRefs>
    <ds:schemaRef ds:uri="http://schemas.microsoft.com/office/2006/metadata/properties"/>
    <ds:schemaRef ds:uri="http://schemas.microsoft.com/office/infopath/2007/PartnerControls"/>
    <ds:schemaRef ds:uri="3c9f7625-f508-4699-980b-15a788d55c32"/>
    <ds:schemaRef ds:uri="41c9fafd-c058-44f8-b2ce-53cd3afba157"/>
  </ds:schemaRefs>
</ds:datastoreItem>
</file>

<file path=customXml/itemProps3.xml><?xml version="1.0" encoding="utf-8"?>
<ds:datastoreItem xmlns:ds="http://schemas.openxmlformats.org/officeDocument/2006/customXml" ds:itemID="{D5EDC946-FEBD-4BE9-AB68-AD52BD9E01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Regneark</vt:lpstr>
      </vt:variant>
      <vt:variant>
        <vt:i4>10</vt:i4>
      </vt:variant>
    </vt:vector>
  </HeadingPairs>
  <TitlesOfParts>
    <vt:vector size="10" baseType="lpstr">
      <vt:lpstr>Claude Log</vt:lpstr>
      <vt:lpstr>1. Forside</vt:lpstr>
      <vt:lpstr>2. Dimensionering</vt:lpstr>
      <vt:lpstr>3. Sådan beregnes det</vt:lpstr>
      <vt:lpstr>4. Korrektionsfaktorer</vt:lpstr>
      <vt:lpstr>5. DB Materialer</vt:lpstr>
      <vt:lpstr>6. DB Geonet</vt:lpstr>
      <vt:lpstr>7. Opslagstabeller</vt:lpstr>
      <vt:lpstr>8. Eksempler</vt:lpstr>
      <vt:lpstr>Ark1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 Strand</cp:lastModifiedBy>
  <cp:revision>0</cp:revision>
  <dcterms:created xsi:type="dcterms:W3CDTF">2026-05-20T04:54:19Z</dcterms:created>
  <dcterms:modified xsi:type="dcterms:W3CDTF">2026-05-29T10:53:59Z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0x010100A8CC43999E69B146B21FD7037336070D</vt:lpwstr>
  </property>
  <property fmtid="{D5CDD505-2E9C-101B-9397-08002B2CF9AE}" pid="4" name="MediaServiceImageTags">
    <vt:lpwstr/>
  </property>
  <property fmtid="{D5CDD505-2E9C-101B-9397-08002B2CF9AE}" pid="5" name="TriggerFlowInfo">
    <vt:lpwstr/>
  </property>
  <property fmtid="{D5CDD505-2E9C-101B-9397-08002B2CF9AE}" pid="6" name="_ExtendedDescription">
    <vt:lpwstr/>
  </property>
</Properties>
</file>